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2"/>
  </bookViews>
  <sheets>
    <sheet name="START HERE" sheetId="1" r:id="rId1"/>
    <sheet name="Progress Dashboard" sheetId="2" r:id="rId2"/>
    <sheet name="SWE Roadmap" sheetId="3" r:id="rId3"/>
    <sheet name="AI ML Roadmap" sheetId="4" r:id="rId4"/>
    <sheet name="AI + SWE Integration" sheetId="5" r:id="rId5"/>
    <sheet name="Company Role Tracker" sheetId="6" r:id="rId6"/>
    <sheet name="Live &amp; Direct Apply Links" sheetId="7" r:id="rId7"/>
    <sheet name="Interview Round Guide" sheetId="8" r:id="rId8"/>
    <sheet name="All Skills Reference" sheetId="9" r:id="rId9"/>
    <sheet name="All Learning Resources" sheetId="10" r:id="rId10"/>
    <sheet name="All Project Ideas" sheetId="11" r:id="rId11"/>
    <sheet name="Sources &amp; Not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<sst xmlns="http://schemas.openxmlformats.org/spreadsheetml/2006/main" count="2314" uniqueCount="1064">
  <si>
    <t>AI/ML + Software Engineering + Integrated Development Tracker</t>
  </si>
  <si>
    <t>How to use this workbook</t>
  </si>
  <si>
    <t>1. SWE Roadmap: Java/DSA, core CS, software development, testing and deployment.</t>
  </si>
  <si>
    <t>2. AI ML Roadmap: Python, maths, data, classical ML, then choose deep learning or GenAI/RAG.</t>
  </si>
  <si>
    <t>3. AI + SWE Integration: build a complete app with a tested AI/ML feature, evaluation and deployment.</t>
  </si>
  <si>
    <t>4. Company Role Tracker: filter by Track and Priority; verify vacancies and BCA eligibility before applying.</t>
  </si>
  <si>
    <t>5. All Skills Reference / All Learning Resources: use as the broader catalogue; the roadmap tabs are the guided paths.</t>
  </si>
  <si>
    <t>6. Update Status and Confidence regularly, and keep project links/application status current.</t>
  </si>
  <si>
    <t>7. Priorities: 'Priority' = reasonable first-wave targets to investigate; 'Stretch' = more competitive or role availability/eligibility may be harder; 'verify opening' = check active vacancy first.</t>
  </si>
  <si>
    <t>Recommended learning paths</t>
  </si>
  <si>
    <t>SWE Roadmap</t>
  </si>
  <si>
    <t>Java + DSA, core CS, web/backend engineering, testing and deployment.</t>
  </si>
  <si>
    <t>AI ML Roadmap</t>
  </si>
  <si>
    <t>Python, maths/statistics, data, model evaluation, then DL or GenAI.</t>
  </si>
  <si>
    <t>AI + SWE Integration</t>
  </si>
  <si>
    <t>One end-to-end product: UI + backend + database + AI service + tests + deployment.</t>
  </si>
  <si>
    <t>Progress Dashboard calculates checklist completion from status dropdowns. Live &amp; Direct Apply Links contains company career pages and selected role pages; a link is not a guarantee that a vacancy remains open. Verify deadline and BCA eligibility before applying.</t>
  </si>
  <si>
    <t>Progress tracking: use the new Progress ☑ dropdown column in the roadmap and checklist tabs.</t>
  </si>
  <si>
    <t>Learning Progress Dashboard</t>
  </si>
  <si>
    <t>Metric</t>
  </si>
  <si>
    <t>Value</t>
  </si>
  <si>
    <t>Total checklist items</t>
  </si>
  <si>
    <t>Done</t>
  </si>
  <si>
    <t>Pending</t>
  </si>
  <si>
    <t>Revision</t>
  </si>
  <si>
    <t>Not Started</t>
  </si>
  <si>
    <t>Completion %</t>
  </si>
  <si>
    <t>Recommended weekly workflow</t>
  </si>
  <si>
    <t>1. Pick a task and change its Status dropdown to Not Started, Pending, Done, or Revision.</t>
  </si>
  <si>
    <t>2. Move a task to Done only when you can explain and reproduce it; add proof in your project or notes.</t>
  </si>
  <si>
    <t>3. Use Revision for topics that need another review; move them back to Pending while practising.</t>
  </si>
  <si>
    <t>4. The KPI totals and per-track completion percentages recalculate in Excel from the Status columns.</t>
  </si>
  <si>
    <t>5. The Progress ☑ column is still available as a visual checkbox, but Status controls dashboard calculations.</t>
  </si>
  <si>
    <t>How progress updates automatically</t>
  </si>
  <si>
    <t>Use the Status dropdown in each roadmap/checklist. The dashboard counts Done, Pending, Revision, and Not Started across SWE, AI/ML, and Integration.</t>
  </si>
  <si>
    <t>Automated progress by learning path</t>
  </si>
  <si>
    <t>Track</t>
  </si>
  <si>
    <t>Total Tasks</t>
  </si>
  <si>
    <t>Software Engineering / SDE track: strengthen coding and CS fundamentals, then ship reliable software.</t>
  </si>
  <si>
    <t>Phase</t>
  </si>
  <si>
    <t>Category</t>
  </si>
  <si>
    <t>Skill / task</t>
  </si>
  <si>
    <t>Priority</t>
  </si>
  <si>
    <t>Status</t>
  </si>
  <si>
    <t>Confidence (1–5)</t>
  </si>
  <si>
    <t>What to learn / deliverable</t>
  </si>
  <si>
    <t>Resource / next action</t>
  </si>
  <si>
    <t>Progress ☑</t>
  </si>
  <si>
    <t>1. Foundation</t>
  </si>
  <si>
    <t>Interview language</t>
  </si>
  <si>
    <t>Java (primary interview language)</t>
  </si>
  <si>
    <t>Must-have</t>
  </si>
  <si>
    <t>Syntax, methods, arrays, strings, collections, generics, exceptions and clean code.</t>
  </si>
  <si>
    <t>https://docs.oracle.com/en/java/</t>
  </si>
  <si>
    <t>☑</t>
  </si>
  <si>
    <t>Problem solving</t>
  </si>
  <si>
    <t>DSA + Big-O</t>
  </si>
  <si>
    <t>Arrays, strings, hash maps, stacks/queues, linked lists, binary search, recursion, trees, heaps, graphs, greedy, backtracking, DP; explain time/space.</t>
  </si>
  <si>
    <t>https://leetcode.com/problemset/</t>
  </si>
  <si>
    <t>☐</t>
  </si>
  <si>
    <t>Core CS</t>
  </si>
  <si>
    <t>OOP</t>
  </si>
  <si>
    <t>Encapsulation, abstraction, inheritance, polymorphism, interfaces, composition and SOLID basics.</t>
  </si>
  <si>
    <t/>
  </si>
  <si>
    <t>DBMS + SQL</t>
  </si>
  <si>
    <t>Keys, normalization, joins, subqueries, CTEs, window functions, transactions, indexes and query plans.</t>
  </si>
  <si>
    <t>https://leetcode.com/studyplan/top-sql-50/</t>
  </si>
  <si>
    <t>Operating systems</t>
  </si>
  <si>
    <t>Processes/threads, concurrency, deadlocks, memory, virtual memory, scheduling and synchronization.</t>
  </si>
  <si>
    <t>Computer networks</t>
  </si>
  <si>
    <t>HTTP/HTTPS, DNS, TCP vs UDP, TLS, cookies, REST and status codes.</t>
  </si>
  <si>
    <t>https://developer.mozilla.org/en-US/docs/Web/HTTP</t>
  </si>
  <si>
    <t>2. Build software</t>
  </si>
  <si>
    <t>Frontend</t>
  </si>
  <si>
    <t>HTML + CSS + JavaScript</t>
  </si>
  <si>
    <t>Semantic HTML, responsive layouts, DOM, ES6+, promises, async/await, error handling and browser devtools.</t>
  </si>
  <si>
    <t>https://developer.mozilla.org/</t>
  </si>
  <si>
    <t>React + TypeScript</t>
  </si>
  <si>
    <t>High</t>
  </si>
  <si>
    <t>Components, props/state, hooks, routing, forms, accessibility, API loading/error states and reusable components.</t>
  </si>
  <si>
    <t>https://react.dev/</t>
  </si>
  <si>
    <t>Backend</t>
  </si>
  <si>
    <t>Node.js + Express REST APIs</t>
  </si>
  <si>
    <t>Routing, middleware, validation, pagination, error handling, authentication, authorization and API docs.</t>
  </si>
  <si>
    <t>https://nodejs.org/en/learn</t>
  </si>
  <si>
    <t>Java backend (Spring Boot)</t>
  </si>
  <si>
    <t>Useful</t>
  </si>
  <si>
    <t>Controllers, services, repositories, DTOs, validation, dependency injection, JPA and security basics.</t>
  </si>
  <si>
    <t>https://spring.io/guides</t>
  </si>
  <si>
    <t>Data</t>
  </si>
  <si>
    <t>PostgreSQL + MongoDB</t>
  </si>
  <si>
    <t>Schema design, relationships, indexes, migrations, aggregation, pagination and transactions.</t>
  </si>
  <si>
    <t>https://www.postgresql.org/docs/</t>
  </si>
  <si>
    <t>Engineering</t>
  </si>
  <si>
    <t>Git + GitHub</t>
  </si>
  <si>
    <t>Branching, clean commits, pull requests, resolving conflicts, issues, README and meaningful history.</t>
  </si>
  <si>
    <t>https://git-scm.com/docs</t>
  </si>
  <si>
    <t>Quality</t>
  </si>
  <si>
    <t>Testing + debugging</t>
  </si>
  <si>
    <t>Unit, integration and API tests; test validation/auth/error paths; logs, breakpoints and reproducible bug reports.</t>
  </si>
  <si>
    <t>https://vitest.dev/</t>
  </si>
  <si>
    <t>3. Ship it</t>
  </si>
  <si>
    <t>Deployment</t>
  </si>
  <si>
    <t>Docker + CI/CD</t>
  </si>
  <si>
    <t>Dockerfile, env vars, build/test pipeline, health checks, secrets, logs and rollback basics.</t>
  </si>
  <si>
    <t>https://docs.docker.com/</t>
  </si>
  <si>
    <t>Design</t>
  </si>
  <si>
    <t>System design fundamentals</t>
  </si>
  <si>
    <t>Caching, queues, load balancing, rate limits, database trade-offs, reliability and observability.</t>
  </si>
  <si>
    <t>Portfolio</t>
  </si>
  <si>
    <t>Swasthya Setu engineering polish</t>
  </si>
  <si>
    <t>Document roles, API contracts, DB schema, security, error states, tests, seed data, deployment, architecture diagram and demo.</t>
  </si>
  <si>
    <t>Use existing project as main SWE case study.</t>
  </si>
  <si>
    <t>Interview</t>
  </si>
  <si>
    <t>Coding + project storytelling</t>
  </si>
  <si>
    <t>Timed DSA practice; explain trade-offs, a bug fixed, a design choice, testing strategy and project impact.</t>
  </si>
  <si>
    <t>AI/ML track: learn data and classical ML first, then choose deep learning or GenAI/RAG based on target roles.</t>
  </si>
  <si>
    <t>1. Foundations</t>
  </si>
  <si>
    <t>Python</t>
  </si>
  <si>
    <t>Python for data and ML</t>
  </si>
  <si>
    <t>Functions, collections, modules, virtual environments, exceptions, notebooks and reusable code.</t>
  </si>
  <si>
    <t>https://docs.python.org/3/tutorial/</t>
  </si>
  <si>
    <t>Math</t>
  </si>
  <si>
    <t>Linear algebra</t>
  </si>
  <si>
    <t>Vectors, matrices, dot products, matrix multiplication, norms and embedding intuition.</t>
  </si>
  <si>
    <t>https://www.khanacademy.org/math/linear-algebra</t>
  </si>
  <si>
    <t>Probability + statistics</t>
  </si>
  <si>
    <t>Distributions, expectation/variance, conditional probability, Bayes, sampling, confidence intervals, hypothesis tests and correlation vs causation.</t>
  </si>
  <si>
    <t>https://www.khanacademy.org/math/statistics-probability</t>
  </si>
  <si>
    <t>NumPy + pandas + EDA</t>
  </si>
  <si>
    <t>Array operations, missing data, duplicates, joins, groupby, visualization, outliers and data-leakage awareness.</t>
  </si>
  <si>
    <t>https://pandas.pydata.org/docs/</t>
  </si>
  <si>
    <t>SQL for analytics</t>
  </si>
  <si>
    <t>Joins, aggregation, CTEs, window functions, data-quality checks and basic indexing.</t>
  </si>
  <si>
    <t>2. Machine learning</t>
  </si>
  <si>
    <t>Classical ML</t>
  </si>
  <si>
    <t>Supervised learning</t>
  </si>
  <si>
    <t>Linear/logistic regression, decision trees, random forests, gradient boosting, kNN and SVM intuition.</t>
  </si>
  <si>
    <t>https://scikit-learn.org/stable/</t>
  </si>
  <si>
    <t>Unsupervised learning</t>
  </si>
  <si>
    <t>K-means, hierarchical clustering, PCA, anomaly detection and when to use each.</t>
  </si>
  <si>
    <t>Model quality</t>
  </si>
  <si>
    <t>Preprocessing + feature engineering</t>
  </si>
  <si>
    <t>Imputation, encoding, scaling, pipelines, class imbalance, train/validation/test split and leakage prevention.</t>
  </si>
  <si>
    <t>Evaluation + validation</t>
  </si>
  <si>
    <t>Confusion matrix, precision/recall/F1, ROC-AUC, MAE/RMSE, cross-validation, threshold choice and baseline comparison.</t>
  </si>
  <si>
    <t>Overfitting + explainability</t>
  </si>
  <si>
    <t>Bias/variance, regularization, feature importance, calibration, fairness, limitations and data provenance.</t>
  </si>
  <si>
    <t>3. Specialize</t>
  </si>
  <si>
    <t>Deep learning</t>
  </si>
  <si>
    <t>Neural network fundamentals</t>
  </si>
  <si>
    <t>Role-dependent</t>
  </si>
  <si>
    <t>Tensors, layers, activations, loss, backpropagation intuition, optimizers, batch size and epochs.</t>
  </si>
  <si>
    <t>PyTorch (choose first)</t>
  </si>
  <si>
    <t>High for DL roles</t>
  </si>
  <si>
    <t>Tensors, Dataset/DataLoader, model class, training loop, autograd, checkpoints and inference.</t>
  </si>
  <si>
    <t>https://pytorch.org/tutorials/</t>
  </si>
  <si>
    <t>GenAI / NLP</t>
  </si>
  <si>
    <t>Transformers + Hugging Face</t>
  </si>
  <si>
    <t>High for GenAI roles</t>
  </si>
  <si>
    <t>Tokenization, attention, embeddings, model/tokenizer loading, inference pipelines and model cards.</t>
  </si>
  <si>
    <t>https://huggingface.co/learn</t>
  </si>
  <si>
    <t>GenAI / RAG</t>
  </si>
  <si>
    <t>LLM APIs + structured outputs</t>
  </si>
  <si>
    <t>Secure API-key handling, schema validation, retries, timeouts, streaming, context and token/cost awareness.</t>
  </si>
  <si>
    <t>RAG end-to-end</t>
  </si>
  <si>
    <t>Parse documents, chunk with metadata, embed, retrieve top-k, assemble context, generate grounded answers and cite sources.</t>
  </si>
  <si>
    <t>Vector search + retrieval evaluation</t>
  </si>
  <si>
    <t>Chroma/FAISS/pgvector, similarity search, metadata filters, hybrid search basics, recall and citation correctness.</t>
  </si>
  <si>
    <t>Responsible AI</t>
  </si>
  <si>
    <t>LLM safety + evaluation</t>
  </si>
  <si>
    <t>Must-have for deployed GenAI</t>
  </si>
  <si>
    <t>Golden test set, groundedness/relevance, prompt injection, privacy, untrusted retrieved text, bounded tools and abstention.</t>
  </si>
  <si>
    <t>4. Production</t>
  </si>
  <si>
    <t>Serving</t>
  </si>
  <si>
    <t>FastAPI model serving</t>
  </si>
  <si>
    <t>Pydantic validation, REST endpoints, inference, error handling, docs, versioning and health checks.</t>
  </si>
  <si>
    <t>https://fastapi.tiangolo.com/</t>
  </si>
  <si>
    <t>MLOps</t>
  </si>
  <si>
    <t>Docker + reproducibility</t>
  </si>
  <si>
    <t>Environment configuration, reproducible data/model versions, logging, latency monitoring and drift awareness.</t>
  </si>
  <si>
    <t>ML project report</t>
  </si>
  <si>
    <t>Document problem, data source, baseline, split strategy, metrics, error analysis, limitations and reproducible steps.</t>
  </si>
  <si>
    <t>Deploy one usable AI feature</t>
  </si>
  <si>
    <t>Expose inference through an API and integrate into a simple interface; include tests, usage limits and failure states.</t>
  </si>
  <si>
    <t>Combined development track: use software engineering to build reliable products and AI/ML to add a measured, testable capability.</t>
  </si>
  <si>
    <t>1. Pick a problem</t>
  </si>
  <si>
    <t>Product thinking</t>
  </si>
  <si>
    <t>Define one real user problem</t>
  </si>
  <si>
    <t>Choose a bounded feature (e.g. healthcare resource demand forecast or document Q&amp;A); define users, inputs, outputs and success metric.</t>
  </si>
  <si>
    <t>Try a focused Swasthya Setu feature.</t>
  </si>
  <si>
    <t>2. Build the app</t>
  </si>
  <si>
    <t>React + TypeScript interface</t>
  </si>
  <si>
    <t>Responsive form/results UI, loading/empty/error states, accessible controls and API integration.</t>
  </si>
  <si>
    <t>Node.js/Express application API</t>
  </si>
  <si>
    <t>Validate requests, enforce auth/roles, store data, rate-limit expensive calls and return consistent errors.</t>
  </si>
  <si>
    <t>Data layer</t>
  </si>
  <si>
    <t>Database + data pipeline</t>
  </si>
  <si>
    <t>Design schema, indexes and migrations; validate/version input data; protect private data.</t>
  </si>
  <si>
    <t>3. Add AI</t>
  </si>
  <si>
    <t>Model choice</t>
  </si>
  <si>
    <t>Baseline before complex model</t>
  </si>
  <si>
    <t>Build a simple rule/statistical baseline, define evaluation metrics, compare improvements and record limitations.</t>
  </si>
  <si>
    <t>Model/API service</t>
  </si>
  <si>
    <t>Python + scikit-learn or LLM API</t>
  </si>
  <si>
    <t>Use a separate FastAPI service for custom models or securely call a hosted LLM API; validate inputs/outputs.</t>
  </si>
  <si>
    <t>RAG option</t>
  </si>
  <si>
    <t>Grounded document assistant</t>
  </si>
  <si>
    <t>Ingest documents, chunk, embed, retrieve relevant sections, cite sources and say when evidence is missing.</t>
  </si>
  <si>
    <t>Only if document search solves the problem.</t>
  </si>
  <si>
    <t>4. Integrate</t>
  </si>
  <si>
    <t>Service contracts</t>
  </si>
  <si>
    <t>Versioned API contract</t>
  </si>
  <si>
    <t>Define request/response schemas, timeouts, retries, error codes, service auth and safe fallbacks.</t>
  </si>
  <si>
    <t>Reliability</t>
  </si>
  <si>
    <t>Latency, cost and fallback</t>
  </si>
  <si>
    <t>Track latency, request failures and AI cost; cache safe results; show fallback when model is unavailable.</t>
  </si>
  <si>
    <t>Security</t>
  </si>
  <si>
    <t>Privacy + prompt/input safety</t>
  </si>
  <si>
    <t>Keep secrets server-side, limit access, validate model outputs, treat retrieved text as untrusted and minimize sensitive data.</t>
  </si>
  <si>
    <t>5. Prove it works</t>
  </si>
  <si>
    <t>Testing</t>
  </si>
  <si>
    <t>Unit + integration + model eval</t>
  </si>
  <si>
    <t>Test frontend/API/service boundaries, malformed input, no-result cases, grounding cases and authorization.</t>
  </si>
  <si>
    <t>Evaluation</t>
  </si>
  <si>
    <t>Software + AI metrics</t>
  </si>
  <si>
    <t>Measure app correctness/availability and model quality (task metrics, groundedness and human review).</t>
  </si>
  <si>
    <t>6. Ship it</t>
  </si>
  <si>
    <t>Docker + CI/CD + monitoring</t>
  </si>
  <si>
    <t>Deploy frontend, backend and AI service; configure env vars, health checks, logs, versioning and rollback.</t>
  </si>
  <si>
    <t>Documentation</t>
  </si>
  <si>
    <t>Architecture + demo</t>
  </si>
  <si>
    <t>Publish architecture/data-flow diagram, API docs, test instructions, limitations, screenshots, demo URL and setup README.</t>
  </si>
  <si>
    <t>Portfolio example</t>
  </si>
  <si>
    <t>Swasthya Setu</t>
  </si>
  <si>
    <t>Bed-pressure / follow-up risk feature</t>
  </si>
  <si>
    <t>Connect a measured prediction service to the backend; label demo predictions and document dataset/model limitations.</t>
  </si>
  <si>
    <t>Do not present it as validated clinical advice.</t>
  </si>
  <si>
    <t>RAG assistant</t>
  </si>
  <si>
    <t>Document Q&amp;A with citations</t>
  </si>
  <si>
    <t>Upload approved docs, retrieve passages, answer with citations, evaluate grounding and show an abstain state.</t>
  </si>
  <si>
    <t>Interview story</t>
  </si>
  <si>
    <t>Explain end-to-end trade-offs</t>
  </si>
  <si>
    <t>Explain model choice, baseline comparison, data design, API boundaries, security, testing and deployment.</t>
  </si>
  <si>
    <t>Company</t>
  </si>
  <si>
    <t>Role titles to search</t>
  </si>
  <si>
    <t>Core skills required</t>
  </si>
  <si>
    <t>Helpful / differentiating skills</t>
  </si>
  <si>
    <t>Typical interview rounds (not guaranteed)</t>
  </si>
  <si>
    <t>Interview types / format</t>
  </si>
  <si>
    <t>What to prepare / likely focus</t>
  </si>
  <si>
    <t>Eligibility note</t>
  </si>
  <si>
    <t>Official careers / role link</t>
  </si>
  <si>
    <t>Column1</t>
  </si>
  <si>
    <t>Column2</t>
  </si>
  <si>
    <t>Column3</t>
  </si>
  <si>
    <t>Column4</t>
  </si>
  <si>
    <t>Column5</t>
  </si>
  <si>
    <t>Column6</t>
  </si>
  <si>
    <t>Microsoft</t>
  </si>
  <si>
    <t>AI/ML</t>
  </si>
  <si>
    <t>AI Engineer Intern; Applied Scientist Intern; Software Engineer Intern (AI)</t>
  </si>
  <si>
    <t>Stretch</t>
  </si>
  <si>
    <t>Python; DSA; statistics/probability; ML fundamentals; SQL; model evaluation</t>
  </si>
  <si>
    <t>PyTorch/TensorFlow; NLP/LLMs; Azure; MLOps; research/project depth</t>
  </si>
  <si>
    <t>Resume screen → online coding/assessment (role-dependent) → technical interviews → behavioral/final</t>
  </si>
  <si>
    <t>Online assessment; live coding; ML/technical discussion; behavioral</t>
  </si>
  <si>
    <t>DSA, ML fundamentals, metrics, overfitting, project decisions, behavioral examples</t>
  </si>
  <si>
    <t>Check degree and graduation-year requirements; research-heavy Applied Scientist roles may require advanced study.</t>
  </si>
  <si>
    <t>https://careers.microsoft.com/</t>
  </si>
  <si>
    <t>Not started</t>
  </si>
  <si>
    <t>Open link; verify role, eligibility, deadline; tailor resume</t>
  </si>
  <si>
    <t>Amazon</t>
  </si>
  <si>
    <t>AI/ML + Full Stack</t>
  </si>
  <si>
    <t>SDE Intern / SDE I; ML Engineer; Applied Scientist (where eligible)</t>
  </si>
  <si>
    <t>One strong language (Java/Python); DSA; OOP; SQL; APIs; ML fundamentals for ML roles</t>
  </si>
  <si>
    <t>AWS; distributed systems; PyTorch; model deployment; React/TypeScript</t>
  </si>
  <si>
    <t>Online assessment → 1+ technical interviews → behavioral/leadership interview (varies by role)</t>
  </si>
  <si>
    <t>Timed coding; live coding; project/CS fundamentals; behavioral questions</t>
  </si>
  <si>
    <t>DSA, coding complexity, DBMS, APIs, ML evaluation for AI roles, leadership-principle examples</t>
  </si>
  <si>
    <t>Applied Scientist positions may require postgraduate/research qualifications; verify each listing.</t>
  </si>
  <si>
    <t>https://www.amazon.jobs/</t>
  </si>
  <si>
    <t>Google</t>
  </si>
  <si>
    <t>Software Engineer Intern; ML Engineer; Research/AI roles where eligible</t>
  </si>
  <si>
    <t>Python/C++/Java; DSA; linear algebra; probability/statistics; ML fundamentals</t>
  </si>
  <si>
    <t>TensorFlow/JAX; deep learning; NLP; cloud; research publications for research roles</t>
  </si>
  <si>
    <t>Application/resume screen → coding/technical interviews → role-specific ML/research rounds → behavioral</t>
  </si>
  <si>
    <t>Online coding; live coding; ML theory/case discussion; behavioral</t>
  </si>
  <si>
    <t>Algorithms, data structures, ML model selection, metrics, project deep dive</t>
  </si>
  <si>
    <t>Research roles can have advanced-degree expectations; verify student/graduate eligibility.</t>
  </si>
  <si>
    <t>https://www.google.com/about/careers/applications/</t>
  </si>
  <si>
    <t>Adobe</t>
  </si>
  <si>
    <t>Software Engineer Intern; ML Engineer; Full Stack Engineer</t>
  </si>
  <si>
    <t>Java/Python/C++; DSA; OOP; DBMS; ML fundamentals for AI positions</t>
  </si>
  <si>
    <t>React/TypeScript; PyTorch; computer vision/NLP; cloud; APIs</t>
  </si>
  <si>
    <t>Online assessment (sometimes) → technical coding rounds → project/domain round → HR/behavioral</t>
  </si>
  <si>
    <t>Coding test; live technical interview; project discussion; behavioral</t>
  </si>
  <si>
    <t>DSA, CS fundamentals, model evaluation for ML, frontend/backend architecture for full stack</t>
  </si>
  <si>
    <t>Role and campus program determine degree eligibility and rounds.</t>
  </si>
  <si>
    <t>https://careers.adobe.com/</t>
  </si>
  <si>
    <t>Accenture</t>
  </si>
  <si>
    <t>AI/ML Engineer; Data/AI Analyst; Full Stack Engineer; Application Developer</t>
  </si>
  <si>
    <t>Python; SQL; statistics; ML basics; JavaScript/TypeScript; REST APIs; Git</t>
  </si>
  <si>
    <t>FastAPI; React; cloud (Azure/AWS/GCP); Docker; LLM/RAG basics</t>
  </si>
  <si>
    <t>Application/aptitude or cognitive test → coding/technical assessment → communication/technical interview → HR (varies)</t>
  </si>
  <si>
    <t>Online assessment; coding test; technical/project interview; communication/behavioral</t>
  </si>
  <si>
    <t>Python/SQL, ML pipeline, API deployment, React/Node basics, project walkthrough</t>
  </si>
  <si>
    <t>Check BCA eligibility for the exact role; some specialist postings require engineering or postgraduate degrees.</t>
  </si>
  <si>
    <t>https://www.accenture.com/in-en/careers</t>
  </si>
  <si>
    <t>TCS</t>
  </si>
  <si>
    <t>Digital/Prime software roles; AI/ML Engineer (when open); Full Stack Developer</t>
  </si>
  <si>
    <t>Java/Python; DSA; OOP; SQL/DBMS; statistics and ML basics for AI roles</t>
  </si>
  <si>
    <t>React; Node.js; FastAPI; cloud; model deployment</t>
  </si>
  <si>
    <t>NQT/online assessment → coding (track-dependent) → technical interview → HR</t>
  </si>
  <si>
    <t>Aptitude/reasoning; coding test; technical/project interview; HR</t>
  </si>
  <si>
    <t>DSA, OOP, DBMS/SQL, project deep dive; ML basics for AI-designated roles</t>
  </si>
  <si>
    <t>Eligibility, degree, academic scores and graduation year vary by hiring track; verify BCA eligibility.</t>
  </si>
  <si>
    <t>https://www.tcs.com/careers/india</t>
  </si>
  <si>
    <t>Infosys</t>
  </si>
  <si>
    <t>Systems Engineer; Specialist Programmer; Data/AI roles; Full Stack Developer</t>
  </si>
  <si>
    <t>Java/Python; DSA; SQL; OOP; Python data handling; ML fundamentals for AI roles</t>
  </si>
  <si>
    <t>React; Node.js; scikit-learn; cloud; GenAI/RAG basics</t>
  </si>
  <si>
    <t>Online assessment → coding/pseudocode (track-dependent) → technical interview → HR</t>
  </si>
  <si>
    <t>Aptitude; coding; technical and project discussion; HR</t>
  </si>
  <si>
    <t>Problem solving, SQL, core CS, Python/ML concepts, explain project design choices</t>
  </si>
  <si>
    <t>Some specialist tracks have strict degree/marks criteria; check the exact role.</t>
  </si>
  <si>
    <t>https://www.infosys.com/careers/</t>
  </si>
  <si>
    <t>HCLTech</t>
  </si>
  <si>
    <t>Fresher AI/ML Developer (where eligible); Graduate Engineer Trainee; Full Stack Developer</t>
  </si>
  <si>
    <t>Python; SQL; ML algorithms; data preprocessing; JavaScript; REST APIs</t>
  </si>
  <si>
    <t>React/React Native; FastAPI; TensorFlow/PyTorch; cloud; Docker</t>
  </si>
  <si>
    <t>Application → online assessment (role-dependent) → technical interview → HR</t>
  </si>
  <si>
    <t>Coding/aptitude test; technical interview; project discussion; HR</t>
  </si>
  <si>
    <t>Python, supervised/unsupervised learning, evaluation metrics, API integration, project explanation</t>
  </si>
  <si>
    <t>A recent AI/ML fresher posting specified B.Tech; BCA eligibility is role-specific—check listing carefully.</t>
  </si>
  <si>
    <t>https://careers.hcltech.com/</t>
  </si>
  <si>
    <t>Wipro</t>
  </si>
  <si>
    <t>Project Engineer; AI/ML roles when open; Full Stack Developer</t>
  </si>
  <si>
    <t>Python/Java; DSA; SQL; ML basics; JavaScript and APIs for full stack</t>
  </si>
  <si>
    <t>React Native; FastAPI; cloud; MLOps; Docker</t>
  </si>
  <si>
    <t>Online assessment → coding/technical interview → HR (varies by drive)</t>
  </si>
  <si>
    <t>Aptitude; coding; technical/project discussion; HR</t>
  </si>
  <si>
    <t>DSA, programming fundamentals, SQL, ML concepts and project details</t>
  </si>
  <si>
    <t>Check current campus/off-campus eligibility and degree requirements.</t>
  </si>
  <si>
    <t>https://careers.wipro.com/</t>
  </si>
  <si>
    <t>Cognizant</t>
  </si>
  <si>
    <t>GenC/GenC Next; AI &amp; Analytics roles; Full Stack Developer</t>
  </si>
  <si>
    <t>Java/Python; SQL; DSA; JavaScript; REST APIs; ML basics for AI roles</t>
  </si>
  <si>
    <t>React/React Native; cloud; FastAPI; deployment</t>
  </si>
  <si>
    <t>Communication/aptitude assessments → coding assessment (track-dependent) → technical/HR interview</t>
  </si>
  <si>
    <t>Online assessment; coding; technical and behavioral interview</t>
  </si>
  <si>
    <t>Coding, SQL, OOP, project walkthrough, basic ML and API design</t>
  </si>
  <si>
    <t>Check BCA and graduation-year eligibility in each drive.</t>
  </si>
  <si>
    <t>https://careers.cognizant.com/india-en/</t>
  </si>
  <si>
    <t>Zoho</t>
  </si>
  <si>
    <t>Full Stack + AI/ML</t>
  </si>
  <si>
    <t>Software Developer; Full Stack Developer; AI/ML Engineer (when available)</t>
  </si>
  <si>
    <t>C/C++/Java/Python; DSA; OOP; DBMS; SQL; web fundamentals</t>
  </si>
  <si>
    <t>React; Node.js; Python ML; model serving; React Native</t>
  </si>
  <si>
    <t>Written/aptitude or programming rounds → practical coding/application round → technical interviews → HR (varies)</t>
  </si>
  <si>
    <t>Written test; timed coding; build-a-program exercise; technical/HR</t>
  </si>
  <si>
    <t>Solve coding problems without over-relying on frameworks; build a small app; explain trade-offs</t>
  </si>
  <si>
    <t>Role-specific degree criteria apply; verify current openings.</t>
  </si>
  <si>
    <t>https://www.zoho.com/careers.html</t>
  </si>
  <si>
    <t>Freshworks</t>
  </si>
  <si>
    <t>Software Engineer; Full Stack Engineer; AI/ML Engineer (when available)</t>
  </si>
  <si>
    <t>JavaScript/TypeScript; React; Node.js or Java; SQL; DSA; APIs</t>
  </si>
  <si>
    <t>Python; LLM APIs; search/recommendation; cloud; observability</t>
  </si>
  <si>
    <t>Resume screen → coding/technical interviews → project/system discussion → behavioral (varies)</t>
  </si>
  <si>
    <t>Coding; practical engineering; system/project discussion; behavioral</t>
  </si>
  <si>
    <t>Frontend state, APIs, DB design, testing, coding fundamentals, AI feature evaluation</t>
  </si>
  <si>
    <t>Openings and student programs vary by location and season.</t>
  </si>
  <si>
    <t>https://www.freshworks.com/company/careers/</t>
  </si>
  <si>
    <t>Razorpay</t>
  </si>
  <si>
    <t>Software Engineer Intern; Backend/Full Stack Engineer; Data/ML roles when open</t>
  </si>
  <si>
    <t>Java/Go/Python/JavaScript; DSA; SQL; APIs; data modeling</t>
  </si>
  <si>
    <t>React/TypeScript; distributed systems; fraud/risk ML; cloud; monitoring</t>
  </si>
  <si>
    <t>Resume screen → coding round(s) → technical/project or system-design discussion → behavioral</t>
  </si>
  <si>
    <t>Online/live coding; backend/API design; project deep dive; behavioral</t>
  </si>
  <si>
    <t>DSA, API correctness, database transactions, reliability, ML metrics for relevant roles</t>
  </si>
  <si>
    <t>Check whether the opening is internship, graduate, or experienced and confirm degree criteria.</t>
  </si>
  <si>
    <t>https://razorpay.com/jobs/</t>
  </si>
  <si>
    <t>PhonePe</t>
  </si>
  <si>
    <t>Software Engineer; Backend Engineer; Data Science/ML roles when open</t>
  </si>
  <si>
    <t>Java/Kotlin/Python; DSA; SQL; API design; OOP</t>
  </si>
  <si>
    <t>React/React Native; distributed systems; risk/fraud ML; cloud</t>
  </si>
  <si>
    <t>Resume screen → coding/DSA rounds → technical/domain round → behavioral (varies)</t>
  </si>
  <si>
    <t>Live coding; CS fundamentals; API/system discussion; project interview</t>
  </si>
  <si>
    <t>DSA, DBMS, concurrency basics, API design; ML/statistics for relevant roles</t>
  </si>
  <si>
    <t>Many roles seek strong engineering fundamentals; check fresher eligibility on each listing.</t>
  </si>
  <si>
    <t>https://www.phonepe.com/careers/</t>
  </si>
  <si>
    <t>Meesho</t>
  </si>
  <si>
    <t>SDE Intern/SDE I; Data Scientist/ML Engineer (when open); Full Stack Developer</t>
  </si>
  <si>
    <t>Java/Python; DSA; SQL; backend APIs; data analysis for ML roles</t>
  </si>
  <si>
    <t>React/TypeScript; experimentation; recommendation/ranking; cloud</t>
  </si>
  <si>
    <t>Online assessment → coding interviews → technical/project or design round → behavioral</t>
  </si>
  <si>
    <t>Coding test; live coding; data/ML case discussion; project interview</t>
  </si>
  <si>
    <t>DSA, SQL, experiment metrics, model evaluation, APIs and frontend/backend fundamentals</t>
  </si>
  <si>
    <t>Entry-level roles may be limited; check graduation year and experience requirements.</t>
  </si>
  <si>
    <t>https://www.meesho.io/jobs</t>
  </si>
  <si>
    <t>Groww</t>
  </si>
  <si>
    <t>Software Engineer; Backend/Full Stack Engineer; Data/ML roles when open</t>
  </si>
  <si>
    <t>Java/Kotlin/Python; DSA; SQL; REST APIs; OOP</t>
  </si>
  <si>
    <t>React/TypeScript; analytics; risk/fraud ML; cloud</t>
  </si>
  <si>
    <t>Resume screen → coding round(s) → technical/domain discussion → behavioral (varies)</t>
  </si>
  <si>
    <t>Live coding; CS fundamentals; API/database discussion; project deep dive</t>
  </si>
  <si>
    <t>DSA, data modeling, API reliability, testing, ML concepts for AI/data roles</t>
  </si>
  <si>
    <t>Check the role's experience level and degree criteria.</t>
  </si>
  <si>
    <t>https://groww.in/careers</t>
  </si>
  <si>
    <t>BrowserStack</t>
  </si>
  <si>
    <t>Software Engineer; Frontend/Full Stack Engineer; QA Automation Engineer</t>
  </si>
  <si>
    <t>JavaScript/TypeScript; React; Node.js; DSA; testing; APIs; SQL</t>
  </si>
  <si>
    <t>React Native; browser automation; CI/CD; Python; cloud</t>
  </si>
  <si>
    <t>Application → coding/technical screen → practical/system/project round → behavioral (varies)</t>
  </si>
  <si>
    <t>Coding; practical debugging/testing; technical discussion; behavioral</t>
  </si>
  <si>
    <t>React component design, async JS, API integration, testing, debugging and project depth</t>
  </si>
  <si>
    <t>Look for intern/early-career listings; openings vary.</t>
  </si>
  <si>
    <t>https://www.browserstack.com/careers/</t>
  </si>
  <si>
    <t>Postman</t>
  </si>
  <si>
    <t>Software Engineer Intern; Full Stack Engineer; AI-enabled developer tools roles</t>
  </si>
  <si>
    <t>JavaScript/TypeScript; React; APIs/HTTP; DSA; SQL; testing</t>
  </si>
  <si>
    <t>Node.js; React Native; Python/LLM APIs; developer tooling</t>
  </si>
  <si>
    <t>Resume screen → coding/technical rounds → project/design discussion → behavioral (varies)</t>
  </si>
  <si>
    <t>Coding; API-focused technical interview; project discussion; behavioral</t>
  </si>
  <si>
    <t>HTTP, REST, auth, API debugging, frontend/backend trade-offs, testing</t>
  </si>
  <si>
    <t>Confirm role level and location; many openings may require prior experience.</t>
  </si>
  <si>
    <t>https://www.postman.com/company/careers/</t>
  </si>
  <si>
    <t>Gnosify</t>
  </si>
  <si>
    <t>AI/ML + Full Stack + React Native</t>
  </si>
  <si>
    <t>AI/ML Engineer; Full Stack Developer; React Native Developer</t>
  </si>
  <si>
    <t>Priority / verify opening</t>
  </si>
  <si>
    <t>AI/ML: Python, ML basics, FastAPI, LLM APIs. Full stack: TypeScript, Node.js, PostgreSQL. Mobile: React Native</t>
  </si>
  <si>
    <t>RAG; vector databases; cloud; iOS/Android debugging; CI/CD</t>
  </si>
  <si>
    <t>Published process: application review → initial discussion → technical/skill evaluation → final interview</t>
  </si>
  <si>
    <t>Recruiter/initial call; practical task or technical discussion; final team interview</t>
  </si>
  <si>
    <t>Build a small API/mobile feature, explain model or architecture choices, show deployed project</t>
  </si>
  <si>
    <t>Company careers page describes these role families; confirm whether a matching opening is active.</t>
  </si>
  <si>
    <t>https://www.gnosify.in/careers</t>
  </si>
  <si>
    <t>RadialBrain</t>
  </si>
  <si>
    <t>AI Engineering Intern; Software Engineer Trainee (AI + Full Stack)</t>
  </si>
  <si>
    <t>Python; TypeScript; web fundamentals; APIs; Git; AI/LLM basics</t>
  </si>
  <si>
    <t>Agents; automation; RAG; testing; deployment; React Native as a bonus</t>
  </si>
  <si>
    <t>Published process: application → AI-led conversation if shortlisted → assignment/founder conversation</t>
  </si>
  <si>
    <t>Written application; AI interview; practical build assignment; founder discussion</t>
  </si>
  <si>
    <t>GitHub quality, a small end-to-end build, reasoning, AI-assisted development with validation</t>
  </si>
  <si>
    <t>Careers page lists remote India internship/trainee tracks; verify active status and criteria.</t>
  </si>
  <si>
    <t>https://www.radialbrain.com/careers/</t>
  </si>
  <si>
    <t>Vatsal Technosoft</t>
  </si>
  <si>
    <t>Full Stack + React Native</t>
  </si>
  <si>
    <t>React + React Native Fresher; Mobile App Developer</t>
  </si>
  <si>
    <t>React; React Native; JavaScript; TypeScript basics; HTML/CSS; REST APIs; JSON; Git</t>
  </si>
  <si>
    <t>Redux; testing; Android/iOS build process; backend/API integration</t>
  </si>
  <si>
    <t>Published listing does not fully specify rounds; expect application review → skill assessment/interview → final discussion</t>
  </si>
  <si>
    <t>Resume review; practical coding/task; technical discussion; HR</t>
  </si>
  <si>
    <t>Hooks, component lifecycle, navigation, API calls, responsive UI, debugging</t>
  </si>
  <si>
    <t>A fresher listing was found; verify current availability, shift, pay and terms before applying.</t>
  </si>
  <si>
    <t>https://www.recruit.vatsaltechnosoft.com/jobs/react-react-native-freshers</t>
  </si>
  <si>
    <t>Origin Softwares</t>
  </si>
  <si>
    <t>Full Stack Developer; AI-enabled application developer</t>
  </si>
  <si>
    <t>JavaScript/TypeScript; Node.js; SQL; APIs; Git; testing</t>
  </si>
  <si>
    <t>Python/LLM APIs; cloud; deployment; React Native</t>
  </si>
  <si>
    <t>Published process: application review → 30-minute technical screen/practical exercise → team lead/senior engineer interview → offer</t>
  </si>
  <si>
    <t>Practical exercise; technical discussion; team interview</t>
  </si>
  <si>
    <t>Explain shipped work, debugging process, code quality, architecture choices</t>
  </si>
  <si>
    <t>Confirm active vacancy and level; use the official careers page.</t>
  </si>
  <si>
    <t>https://www.originsoftwares.com/careers</t>
  </si>
  <si>
    <t>TCS / Digital track</t>
  </si>
  <si>
    <t>Digital/Prime fresher roles; AI-related projects/roles where available</t>
  </si>
  <si>
    <t>Java/Python; DSA; OOP; DBMS/SQL; OS/network basics</t>
  </si>
  <si>
    <t>React; Node.js; ML fundamentals; cloud</t>
  </si>
  <si>
    <t>NQT or equivalent assessment → coding/technical interview → HR; track-specific</t>
  </si>
  <si>
    <t>Aptitude/reasoning; coding; technical and project interview</t>
  </si>
  <si>
    <t>DSA, SQL, OOP, project explanation; AI concepts only if role requires them</t>
  </si>
  <si>
    <t>This is a hiring track, not a separate company. Confirm current hiring program and BCA eligibility.</t>
  </si>
  <si>
    <t>HCLTech / AI roles</t>
  </si>
  <si>
    <t>Fresher AIML Developer; Data/AI trainee (when open)</t>
  </si>
  <si>
    <t>Priority / verify eligibility</t>
  </si>
  <si>
    <t>Python; NumPy; pandas; scikit-learn; statistics; ML algorithms; SQL</t>
  </si>
  <si>
    <t>PyTorch/TensorFlow; FastAPI; Docker; cloud; model monitoring</t>
  </si>
  <si>
    <t>Application → assessment → technical ML/Python round → HR (role-dependent)</t>
  </si>
  <si>
    <t>Python/SQL coding; ML theory; project deep dive; behavioral</t>
  </si>
  <si>
    <t>Data cleaning, train/test split, leakage, metrics, overfitting, deployment</t>
  </si>
  <si>
    <t>Some posted fresher AIML roles require B.Tech; BCA candidates must verify eligibility before applying.</t>
  </si>
  <si>
    <t>Microsoft / mobile roles</t>
  </si>
  <si>
    <t>Software Engineer Intern; Mobile/Full Stack Engineer (where available)</t>
  </si>
  <si>
    <t>JavaScript/TypeScript; React; React Native; APIs; DSA; Git</t>
  </si>
  <si>
    <t>Native modules; navigation; state management; app performance; testing</t>
  </si>
  <si>
    <t>Resume screen → coding interview(s) → role-specific technical/project round → behavioral</t>
  </si>
  <si>
    <t>Coding; practical mobile/frontend discussion; project deep dive</t>
  </si>
  <si>
    <t>React hooks, navigation, async storage, REST APIs, debugging, app lifecycle</t>
  </si>
  <si>
    <t>React Native may not be explicitly named in every opening; search role descriptions.</t>
  </si>
  <si>
    <t>Amazon / mobile-full stack roles</t>
  </si>
  <si>
    <t>SDE Intern/SDE I; Mobile Engineer (where available)</t>
  </si>
  <si>
    <t>Java/JavaScript; DSA; OOP; REST APIs; SQL/NoSQL</t>
  </si>
  <si>
    <t>React Native; app testing; AWS; observability</t>
  </si>
  <si>
    <t>Online assessment → technical coding rounds → behavioral/leadership round</t>
  </si>
  <si>
    <t>Timed coding; live coding; project/architecture discussion; behavioral</t>
  </si>
  <si>
    <t>DSA, APIs, state management, app performance and behavioral examples</t>
  </si>
  <si>
    <t>Search exact mobile role titles; React Native is not guaranteed to be used by every team.</t>
  </si>
  <si>
    <t>StayBoba</t>
  </si>
  <si>
    <t>Full Stack Developer (College Hiring); React Native as a bonus skill</t>
  </si>
  <si>
    <t>Frontend/backend fundamentals; TypeScript; database; Git; AI-assisted development</t>
  </si>
  <si>
    <t>React Native; cloud; Docker; API design</t>
  </si>
  <si>
    <t>Published process: GitHub/application review → short video call → one-week evaluation task → internship decision</t>
  </si>
  <si>
    <t>Portfolio review; project discussion; take-home practical assignment</t>
  </si>
  <si>
    <t>Code quality, architecture decisions, end-to-end build, use of AI coding tools responsibly</t>
  </si>
  <si>
    <t>Listing describes a college-hiring internship; review assignment duration and terms before accepting.</t>
  </si>
  <si>
    <t>https://careers.stayboba.com/apply/full-stack-college/</t>
  </si>
  <si>
    <t>Company / portal</t>
  </si>
  <si>
    <t>Role / track</t>
  </si>
  <si>
    <t>Apply / opportunities link</t>
  </si>
  <si>
    <t>Status checked</t>
  </si>
  <si>
    <t>What to verify before applying</t>
  </si>
  <si>
    <t>Source type</t>
  </si>
  <si>
    <t>Application status</t>
  </si>
  <si>
    <t>Applied date</t>
  </si>
  <si>
    <t>Next action</t>
  </si>
  <si>
    <t>Sabre AI Labs</t>
  </si>
  <si>
    <t>AI/ML Research Intern; Full Stack Developer; Mobile App Developer</t>
  </si>
  <si>
    <t>https://careers.sabreailabs.in/opportunities</t>
  </si>
  <si>
    <t>10 Oct 2026</t>
  </si>
  <si>
    <t>Check role page, eligibility, deadlines and whether application is still open</t>
  </si>
  <si>
    <t>Company opportunities portal</t>
  </si>
  <si>
    <t>Open link; verify active role and BCA eligibility</t>
  </si>
  <si>
    <t>Current students for internship; trainee track for full-time; inspect application page</t>
  </si>
  <si>
    <t>Company careers page</t>
  </si>
  <si>
    <t>Pritas</t>
  </si>
  <si>
    <t>AI/ML Intern; Full Stack Developer Intern; Frontend/Backend Intern</t>
  </si>
  <si>
    <t>https://pritas.in/company/careers</t>
  </si>
  <si>
    <t>Remote internship; duration and terms; confirm open form and work expectations</t>
  </si>
  <si>
    <t>Astrizion Technologies</t>
  </si>
  <si>
    <t>AI/ML Engineer Intern; Full Stack Developer Intern; Mobile App Developer</t>
  </si>
  <si>
    <t>https://astriziontechnologies.com/careers</t>
  </si>
  <si>
    <t>Confirm current vacancy, selection process, stipend and company details</t>
  </si>
  <si>
    <t>GlobeXcoders</t>
  </si>
  <si>
    <t>AI/ML Engineer Intern; Full Stack Developer Intern</t>
  </si>
  <si>
    <t>https://www.globexcoders.in/careers</t>
  </si>
  <si>
    <t>Page describes unpaid internship; carefully assess terms, learning and PPO conditions before accepting</t>
  </si>
  <si>
    <t>Kreeda Labs via VibrantMinds</t>
  </si>
  <si>
    <t>Full Stack Developer; AI/ML Engineer Intern</t>
  </si>
  <si>
    <t>https://candidates.vibrantminds.in/campus-drives/detail.php?id=19</t>
  </si>
  <si>
    <t>Historical posting; verify status</t>
  </si>
  <si>
    <t>Search result showed deadline 7 Sep 2026, which has passed; use only to check for a new drive</t>
  </si>
  <si>
    <t>Recruitment drive page; deadline may be past</t>
  </si>
  <si>
    <t>Growify India</t>
  </si>
  <si>
    <t>React Native Intern Developer</t>
  </si>
  <si>
    <t>https://growifyindia.com/careers/react-native-intern-developer</t>
  </si>
  <si>
    <t>Search result showed deadline 22 Aug 2026, which has passed; check if reposted</t>
  </si>
  <si>
    <t>Company role page; deadline may be past</t>
  </si>
  <si>
    <t>Nexentia</t>
  </si>
  <si>
    <t>Full Stack Developer Intern</t>
  </si>
  <si>
    <t>https://careers.nexentia.in/</t>
  </si>
  <si>
    <t>Page showed a role and internship details; verify the application window before submitting</t>
  </si>
  <si>
    <t>Company hiring portal</t>
  </si>
  <si>
    <t>AI/ML, Software Engineering, mobile roles</t>
  </si>
  <si>
    <t>Filter India, internship/graduate, and verify degree requirements</t>
  </si>
  <si>
    <t>Official company careers</t>
  </si>
  <si>
    <t>SDE, ML, AI, mobile roles</t>
  </si>
  <si>
    <t>Filter India and student/entry-level; each role has its own eligibility</t>
  </si>
  <si>
    <t>Official company jobs</t>
  </si>
  <si>
    <t>Software Engineering, ML/AI roles</t>
  </si>
  <si>
    <t>Filter India and early career; research roles may require advanced degrees</t>
  </si>
  <si>
    <t>Software Engineering, AI/ML roles</t>
  </si>
  <si>
    <t>Filter intern/new graduate and India; check role requirements</t>
  </si>
  <si>
    <t>AI/ML, GenAI, full-stack roles</t>
  </si>
  <si>
    <t>Filter India and entry-level; verify BCA eligibility</t>
  </si>
  <si>
    <t>Graduate software roles, digital tracks</t>
  </si>
  <si>
    <t>Check hiring program, BCA eligibility, marks and graduation year</t>
  </si>
  <si>
    <t>Graduate roles, AI/data/full-stack</t>
  </si>
  <si>
    <t>Check degree and campus/off-campus conditions</t>
  </si>
  <si>
    <t>AI/ML, graduate engineering, mobile/full-stack</t>
  </si>
  <si>
    <t>Some AI/ML fresher posts require B.Tech; check each job</t>
  </si>
  <si>
    <t>Software, AI/data, mobile/full-stack</t>
  </si>
  <si>
    <t>Check fresher hiring cycle and degree eligibility</t>
  </si>
  <si>
    <t>Graduate software roles, AI/data, full-stack</t>
  </si>
  <si>
    <t>Check current drive requirements and graduation year</t>
  </si>
  <si>
    <t>Software developer, web/full-stack, AI roles</t>
  </si>
  <si>
    <t>Search developer openings; role-specific eligibility</t>
  </si>
  <si>
    <t>Software engineering, AI-enabled product roles</t>
  </si>
  <si>
    <t>Check intern/early-career listings and location</t>
  </si>
  <si>
    <t>Software engineering, data/ML roles</t>
  </si>
  <si>
    <t>Check role level, experience, and India location</t>
  </si>
  <si>
    <t>Check entry-level availability and required experience</t>
  </si>
  <si>
    <t>SDE, data science/ML roles</t>
  </si>
  <si>
    <t>Check internship/fresher listings and graduation-year criteria</t>
  </si>
  <si>
    <t>Check role level and experience requirements</t>
  </si>
  <si>
    <t>Software engineering, frontend/full-stack, QA automation</t>
  </si>
  <si>
    <t>Check intern/early-career listings and role-specific skills</t>
  </si>
  <si>
    <t>Developer tools, software engineering</t>
  </si>
  <si>
    <t>Check entry-level roles and location requirements</t>
  </si>
  <si>
    <t>AI/ML, full-stack, React Native role families</t>
  </si>
  <si>
    <t>Confirm an active vacancy and exact job description</t>
  </si>
  <si>
    <t>Full Stack / AI-enabled development</t>
  </si>
  <si>
    <t>Confirm role level and active vacancy</t>
  </si>
  <si>
    <t>Round / stage</t>
  </si>
  <si>
    <t>Common formats</t>
  </si>
  <si>
    <t>AI/ML focus</t>
  </si>
  <si>
    <t>Full Stack / React Native focus</t>
  </si>
  <si>
    <t>Preparation checklist</t>
  </si>
  <si>
    <t>Important note</t>
  </si>
  <si>
    <t>1. Resume / application screen</t>
  </si>
  <si>
    <t>ATS keyword scan; recruiter review; portfolio/GitHub review</t>
  </si>
  <si>
    <t>Python, ML projects, datasets, evaluation results, deployment links</t>
  </si>
  <si>
    <t>React/React Native apps, APIs, database, deployment, GitHub quality</t>
  </si>
  <si>
    <t>Tailor resume to JD; put strongest project and live links near top; quantify results</t>
  </si>
  <si>
    <t>Not every company uses every stage.</t>
  </si>
  <si>
    <t>2. Aptitude / online assessment</t>
  </si>
  <si>
    <t>Timed aptitude, reasoning, MCQ, coding platform; sometimes proctored</t>
  </si>
  <si>
    <t>Python basics, statistics, SQL, ML fundamentals if specified</t>
  </si>
  <si>
    <t>DSA, JavaScript/Java/Python, SQL, basic web concepts</t>
  </si>
  <si>
    <t>Practice timed questions; read role-specific test instructions</t>
  </si>
  <si>
    <t>Format and cutoffs vary by hiring program.</t>
  </si>
  <si>
    <t>3. Coding / DSA</t>
  </si>
  <si>
    <t>Online assessment; shared-editor live coding; sometimes take-home</t>
  </si>
  <si>
    <t>Python coding, data manipulation, algorithms; SQL</t>
  </si>
  <si>
    <t>DSA in chosen language; JavaScript async concepts; SQL</t>
  </si>
  <si>
    <t>Explain approach, complexity, edge cases, tests; write clean code</t>
  </si>
  <si>
    <t>Some practical startups may prioritize projects over DSA.</t>
  </si>
  <si>
    <t>4. Role-specific technical</t>
  </si>
  <si>
    <t>Live interview, whiteboard/shared editor, case study, practical task</t>
  </si>
  <si>
    <t>Statistics, model choice, feature engineering, leakage, metrics, deployment, ML system reasoning</t>
  </si>
  <si>
    <t>React hooks/state, REST APIs, DB schema, auth, debugging, mobile navigation/lifecycle</t>
  </si>
  <si>
    <t>Use a structured explanation; justify trade-offs and failure handling</t>
  </si>
  <si>
    <t>For React Native, be ready to demonstrate an actual mobile build.</t>
  </si>
  <si>
    <t>5. Project / assignment</t>
  </si>
  <si>
    <t>Take-home assignment; code review; portfolio walkthrough; pair programming</t>
  </si>
  <si>
    <t>Reproduce experiment; baseline comparison; model card; API serving; evaluation</t>
  </si>
  <si>
    <t>Build feature end-to-end; integrate API; handle loading/errors; test and document</t>
  </si>
  <si>
    <t>Time-box; write README; include setup instructions and known limitations</t>
  </si>
  <si>
    <t>Review unpaid assignment length and terms before accepting.</t>
  </si>
  <si>
    <t>6. System / architecture discussion</t>
  </si>
  <si>
    <t>System design or practical architecture discussion; more common at higher levels</t>
  </si>
  <si>
    <t>Data pipeline, inference endpoint, model monitoring, latency/cost, model/data versioning</t>
  </si>
  <si>
    <t>Client/API/database architecture, auth, caching, error handling, scaling; mobile offline/network behavior</t>
  </si>
  <si>
    <t>Start with requirements; sketch components/data flow; discuss trade-offs</t>
  </si>
  <si>
    <t>Freshers may get a smaller design discussion rather than full system design.</t>
  </si>
  <si>
    <t>7. Behavioral / HR</t>
  </si>
  <si>
    <t>Recruiter call; manager interview; STAR questions</t>
  </si>
  <si>
    <t>Motivation, responsible AI, handling ambiguous data/results, teamwork</t>
  </si>
  <si>
    <t>Ownership, debugging, teamwork, deadlines, learning, user focus</t>
  </si>
  <si>
    <t>Prepare examples of conflict, failure, initiative, feedback, and learning</t>
  </si>
  <si>
    <t>Company-specific values and format vary.</t>
  </si>
  <si>
    <t>8. Final verification / offer</t>
  </si>
  <si>
    <t>Eligibility, documents, compensation, location, background checks</t>
  </si>
  <si>
    <t>Degree/marks, graduation year, internship dates</t>
  </si>
  <si>
    <t>Degree/marks, graduation year, location/work mode</t>
  </si>
  <si>
    <t>Verify written offer, role, compensation, joining date and any bond/terms</t>
  </si>
  <si>
    <t>Never pay recruitment or placement fees to obtain a job.</t>
  </si>
  <si>
    <t>Skill / topic</t>
  </si>
  <si>
    <t>Column7</t>
  </si>
  <si>
    <t>Column8</t>
  </si>
  <si>
    <t>Both</t>
  </si>
  <si>
    <t>Programming foundations</t>
  </si>
  <si>
    <t>Python fundamentals</t>
  </si>
  <si>
    <t>Learn syntax, functions, collections, exceptions, modules, venv, typing basics</t>
  </si>
  <si>
    <t>Write 3 small scripts and one reusable module</t>
  </si>
  <si>
    <t>Study basics → implement task → commit proof</t>
  </si>
  <si>
    <t>JavaScript ES6+</t>
  </si>
  <si>
    <t>Closures basics, destructuring, array methods, modules, promises, async/await, error handling</t>
  </si>
  <si>
    <t>Build API-fetching utility with loading/error handling</t>
  </si>
  <si>
    <t>https://developer.mozilla.org/en-US/docs/Web/JavaScript</t>
  </si>
  <si>
    <t>TypeScript</t>
  </si>
  <si>
    <t>Types, interfaces, unions, generics basics, narrowing, typing React props/API data</t>
  </si>
  <si>
    <t>Convert one React component and API service to TypeScript</t>
  </si>
  <si>
    <t>https://www.typescriptlang.org/docs/</t>
  </si>
  <si>
    <t>CS fundamentals</t>
  </si>
  <si>
    <t>Arrays, strings, hash maps, stacks/queues, linked lists, trees, graphs, recursion, sorting/searching, complexity</t>
  </si>
  <si>
    <t>Solve and explain 50+ curated problems; track patterns</t>
  </si>
  <si>
    <t>OOP + core CS</t>
  </si>
  <si>
    <t>OOP, exceptions, collections, DBMS, OS and networking fundamentals</t>
  </si>
  <si>
    <t>Prepare concise explanations and examples</t>
  </si>
  <si>
    <t>https://www.geeksforgeeks.org/</t>
  </si>
  <si>
    <t>Developer workflow</t>
  </si>
  <si>
    <t>Git/GitHub</t>
  </si>
  <si>
    <t>Branches, commits, pull requests, merge conflicts, issues, README</t>
  </si>
  <si>
    <t>Maintain clean repos with meaningful commits</t>
  </si>
  <si>
    <t>https://docs.github.com/en</t>
  </si>
  <si>
    <t>Linux/CLI + debugging</t>
  </si>
  <si>
    <t>Navigate files, env vars, logs, processes, curl, ports, basic shell commands</t>
  </si>
  <si>
    <t>Debug a local app using logs and curl</t>
  </si>
  <si>
    <t>https://missing.csail.mit.edu/</t>
  </si>
  <si>
    <t>Math foundations</t>
  </si>
  <si>
    <t>Vectors, matrices, dot product, matrix multiplication, norms, intuition for embeddings</t>
  </si>
  <si>
    <t>Explain vector similarity and calculate cosine similarity</t>
  </si>
  <si>
    <t>Mean/variance, distributions, conditional probability, Bayes, sampling, confidence intervals, correlation vs causation</t>
  </si>
  <si>
    <t>Explain uncertainty and select an evaluation metric</t>
  </si>
  <si>
    <t>Data engineering</t>
  </si>
  <si>
    <t>NumPy</t>
  </si>
  <si>
    <t>Arrays, broadcasting, vectorization, indexing, random seeds</t>
  </si>
  <si>
    <t>Replace loops with vectorized operations in a notebook</t>
  </si>
  <si>
    <t>https://numpy.org/doc/stable/user/</t>
  </si>
  <si>
    <t>pandas + EDA</t>
  </si>
  <si>
    <t>Cleaning missing values, duplicates, joins, groupby, reshape, visualization, leakage awareness</t>
  </si>
  <si>
    <t>Create a reproducible EDA notebook with conclusions</t>
  </si>
  <si>
    <t>Joins, CTEs, subqueries, window functions, aggregation, indexes basics</t>
  </si>
  <si>
    <t>Solve 30 SQL questions and analyze a dataset</t>
  </si>
  <si>
    <t>https://sqlbolt.com/</t>
  </si>
  <si>
    <t>Machine learning</t>
  </si>
  <si>
    <t>Linear/logistic regression, decision trees, random forests, gradient boosting, kNN, SVM basics</t>
  </si>
  <si>
    <t>Train baselines and compare results on a real dataset</t>
  </si>
  <si>
    <t>https://scikit-learn.org/stable/supervised_learning.html</t>
  </si>
  <si>
    <t>K-means, hierarchical clustering, PCA, anomaly detection basics</t>
  </si>
  <si>
    <t>Cluster a dataset and explain limitations</t>
  </si>
  <si>
    <t>https://scikit-learn.org/stable/unsupervised_learning.html</t>
  </si>
  <si>
    <t>Feature engineering + preprocessing</t>
  </si>
  <si>
    <t>Encoding, scaling, imputation, pipelines, class imbalance, train/validation/test splits</t>
  </si>
  <si>
    <t>Build preprocessing with sklearn Pipeline/ColumnTransformer</t>
  </si>
  <si>
    <t>https://scikit-learn.org/stable/modules/compose.html</t>
  </si>
  <si>
    <t>Model evaluation + validation</t>
  </si>
  <si>
    <t>Confusion matrix, precision, recall, F1, ROC-AUC, MAE/RMSE, cross-validation, threshold selection</t>
  </si>
  <si>
    <t>Write a short model evaluation report and justify metrics</t>
  </si>
  <si>
    <t>https://scikit-learn.org/stable/modules/model_evaluation.html</t>
  </si>
  <si>
    <t>Overfitting, leakage, regularization</t>
  </si>
  <si>
    <t>Bias/variance, leakage, L1/L2, data split strategy, baseline comparison</t>
  </si>
  <si>
    <t>Identify and fix leakage in a sample pipeline</t>
  </si>
  <si>
    <t>https://scikit-learn.org/stable/common_pitfalls.html</t>
  </si>
  <si>
    <t>Explainability + responsible ML</t>
  </si>
  <si>
    <t>Feature importance, calibration, fairness, privacy, limitations, data provenance</t>
  </si>
  <si>
    <t>Document limitations and possible failure modes</t>
  </si>
  <si>
    <t>https://www.nist.gov/itl/ai-risk-management-framework</t>
  </si>
  <si>
    <t>Must-have for DL roles</t>
  </si>
  <si>
    <t>Tensors, layers, activations, loss, backprop intuition, optimizers, batch size, epochs</t>
  </si>
  <si>
    <t>Train a small neural net and chart training/validation loss</t>
  </si>
  <si>
    <t>https://www.deeplearning.ai/</t>
  </si>
  <si>
    <t>PyTorch</t>
  </si>
  <si>
    <t>Choose one framework first</t>
  </si>
  <si>
    <t>Tensors, Dataset/DataLoader, model class, training loop, autograd, save/load checkpoints</t>
  </si>
  <si>
    <t>Build and train a small classifier; save inference code</t>
  </si>
  <si>
    <t>TensorFlow/Keras</t>
  </si>
  <si>
    <t>Alternative framework</t>
  </si>
  <si>
    <t>Sequential/Functional APIs, datasets, callbacks, model save/load</t>
  </si>
  <si>
    <t>Recreate a simple classifier only if target roles ask for it</t>
  </si>
  <si>
    <t>https://www.tensorflow.org/tutorials</t>
  </si>
  <si>
    <t>CNNs / computer vision</t>
  </si>
  <si>
    <t>Convolution, pooling, transfer learning, augmentation, classification metrics</t>
  </si>
  <si>
    <t>Fine-tune a pretrained image model</t>
  </si>
  <si>
    <t>https://pytorch.org/tutorials/beginner/blitz/cifar10_tutorial.html</t>
  </si>
  <si>
    <t>Sequence models / Transformers</t>
  </si>
  <si>
    <t>Must-have for GenAI</t>
  </si>
  <si>
    <t>Tokenization, attention intuition, embeddings, positional encoding, context window</t>
  </si>
  <si>
    <t>Explain transformer flow and compare embeddings</t>
  </si>
  <si>
    <t>Hugging Face ecosystem</t>
  </si>
  <si>
    <t>Must-have for modern NLP/GenAI</t>
  </si>
  <si>
    <t>Transformers, model/tokenizer loading, inference pipelines, datasets, model cards</t>
  </si>
  <si>
    <t>Run a small pretrained model and document license/limits</t>
  </si>
  <si>
    <t>OpenAI + GenAI</t>
  </si>
  <si>
    <t>OpenAI API basics</t>
  </si>
  <si>
    <t>Must-have for OpenAI-integrated roles</t>
  </si>
  <si>
    <t>API keys via env vars, SDK setup, model requests, errors, retries, timeouts, token/cost awareness</t>
  </si>
  <si>
    <t>Build a small server-side endpoint calling an OpenAI model; never expose keys in frontend</t>
  </si>
  <si>
    <t>https://platform.openai.com/docs/</t>
  </si>
  <si>
    <t>Structured outputs + tool/function calling</t>
  </si>
  <si>
    <t>JSON schema outputs, tool definitions, validation, safe execution boundaries</t>
  </si>
  <si>
    <t>Create a tool-calling demo with validated arguments</t>
  </si>
  <si>
    <t>https://platform.openai.com/docs/guides/</t>
  </si>
  <si>
    <t>Streaming + conversation state</t>
  </si>
  <si>
    <t>Streaming responses, conversation history, token limits, context management</t>
  </si>
  <si>
    <t>Build streaming chat UI backed by server API</t>
  </si>
  <si>
    <t>Prompt design + testing</t>
  </si>
  <si>
    <t>Clear instructions, examples, delimiters, prompt versioning, eval sets, injection awareness</t>
  </si>
  <si>
    <t>Create 20 test prompts and score outputs against criteria</t>
  </si>
  <si>
    <t>https://platform.openai.com/docs/guides/prompt-engineering</t>
  </si>
  <si>
    <t>Embeddings + semantic similarity</t>
  </si>
  <si>
    <t>Must-have for RAG</t>
  </si>
  <si>
    <t>Embedding vectors, cosine similarity, chunking, similarity search, metadata filters</t>
  </si>
  <si>
    <t>Compare keyword search vs vector similarity on 20 queries</t>
  </si>
  <si>
    <t>https://platform.openai.com/docs/guides/embeddings</t>
  </si>
  <si>
    <t>LLM evaluation</t>
  </si>
  <si>
    <t>Must-have for production GenAI</t>
  </si>
  <si>
    <t>Golden datasets, correctness/relevance, groundedness, latency, cost, human review</t>
  </si>
  <si>
    <t>Create an eval spreadsheet and compare prompt/model versions</t>
  </si>
  <si>
    <t>https://platform.openai.com/docs/guides/evals</t>
  </si>
  <si>
    <t>RAG</t>
  </si>
  <si>
    <t>RAG end-to-end architecture</t>
  </si>
  <si>
    <t>Must-have for RAG roles</t>
  </si>
  <si>
    <t>Ingestion, parsing, chunking, embeddings, indexing, retrieval, context assembly, generation, citations</t>
  </si>
  <si>
    <t>Build a document Q&amp;A app that cites source chunks</t>
  </si>
  <si>
    <t>https://www.deeplearning.ai/short-courses/</t>
  </si>
  <si>
    <t>Document parsing + chunking</t>
  </si>
  <si>
    <t>PDF/text extraction, chunk size/overlap, metadata, table handling, source IDs</t>
  </si>
  <si>
    <t>Index a small collection of PDFs and inspect chunks</t>
  </si>
  <si>
    <t>https://python.langchain.com/docs/</t>
  </si>
  <si>
    <t>Vector databases / search</t>
  </si>
  <si>
    <t>pgvector, Chroma, FAISS or another store; top-k, filters, cosine/dot distance, persistence</t>
  </si>
  <si>
    <t>Implement one vector store and test retrieval quality</t>
  </si>
  <si>
    <t>https://github.com/pgvector/pgvector</t>
  </si>
  <si>
    <t>Hybrid search + reranking</t>
  </si>
  <si>
    <t>Advanced</t>
  </si>
  <si>
    <t>Keyword/BM25 plus dense retrieval, reciprocal rank fusion, reranking, query rewrite</t>
  </si>
  <si>
    <t>Compare dense-only vs hybrid/reranked retrieval</t>
  </si>
  <si>
    <t>https://www.elastic.co/what-is/hybrid-search</t>
  </si>
  <si>
    <t>RAG evaluation + grounding</t>
  </si>
  <si>
    <t>Must-have for production</t>
  </si>
  <si>
    <t>Retrieval recall, answer faithfulness, relevance, citation correctness, abstention on missing evidence</t>
  </si>
  <si>
    <t>Build a 20-question benchmark with expected source citations</t>
  </si>
  <si>
    <t>https://docs.ragas.io/</t>
  </si>
  <si>
    <t>LLM frameworks</t>
  </si>
  <si>
    <t>LangChain</t>
  </si>
  <si>
    <t>Prompt templates, runnable chains, retrievers, tool calling, tracing/evaluation concepts</t>
  </si>
  <si>
    <t>Build a small RAG flow and document each component</t>
  </si>
  <si>
    <t>LlamaIndex</t>
  </si>
  <si>
    <t>Alternative to learn</t>
  </si>
  <si>
    <t>Document ingestion, indexes, retrievers, query engines, evaluation</t>
  </si>
  <si>
    <t>Rebuild a small document-QA workflow if relevant to target roles</t>
  </si>
  <si>
    <t>https://docs.llamaindex.ai/</t>
  </si>
  <si>
    <t>Agents</t>
  </si>
  <si>
    <t>Agent workflows + tool use</t>
  </si>
  <si>
    <t>Advanced / role-dependent</t>
  </si>
  <si>
    <t>Tool schemas, routing, bounded loops, state, retries, human approval, stopping conditions</t>
  </si>
  <si>
    <t>Build a bounded agent that calls 2 safe tools and logs actions</t>
  </si>
  <si>
    <t>MCP concepts</t>
  </si>
  <si>
    <t>Useful for agent tooling</t>
  </si>
  <si>
    <t>Client/server roles, tools/resources/prompts, permissions, trust boundaries</t>
  </si>
  <si>
    <t>Create or connect a simple MCP tool server in a sandbox</t>
  </si>
  <si>
    <t>https://modelcontextprotocol.io/introduction</t>
  </si>
  <si>
    <t>GenAI safety</t>
  </si>
  <si>
    <t>Prompt injection + data privacy</t>
  </si>
  <si>
    <t>Must-have for deployed apps</t>
  </si>
  <si>
    <t>Treat retrieved text as untrusted; prevent secrets leakage; validate tool args; least privilege; data retention awareness</t>
  </si>
  <si>
    <t>Add adversarial tests and tool allowlists to the RAG demo</t>
  </si>
  <si>
    <t>https://owasp.org/www-project-top-10-for-large-language-model-applications/</t>
  </si>
  <si>
    <t>Deployment + MLOps</t>
  </si>
  <si>
    <t>Pydantic validation, REST endpoints, async basics, error handling, docs</t>
  </si>
  <si>
    <t>Serve an ML model and test with curl/Postman</t>
  </si>
  <si>
    <t>Docker + environment configuration</t>
  </si>
  <si>
    <t>Dockerfile, images, ports, volumes, secrets/env vars, reproducible builds</t>
  </si>
  <si>
    <t>Containerize model API without committing secrets</t>
  </si>
  <si>
    <t>https://docs.docker.com/get-started/</t>
  </si>
  <si>
    <t>Experiment tracking + monitoring</t>
  </si>
  <si>
    <t>Track data/model versions, metrics, latency, drift basics, logs</t>
  </si>
  <si>
    <t>Log model version and prediction latency</t>
  </si>
  <si>
    <t>https://mlflow.org/docs/latest/index.html</t>
  </si>
  <si>
    <t>Cloud deployment</t>
  </si>
  <si>
    <t>Deploy API, configure env vars, logs, access controls, health checks</t>
  </si>
  <si>
    <t>Deploy one API and write rollback/setup notes</t>
  </si>
  <si>
    <t>https://aws.amazon.com/getting-started/</t>
  </si>
  <si>
    <t>Full Stack</t>
  </si>
  <si>
    <t>React fundamentals</t>
  </si>
  <si>
    <t>Components, props/state, hooks, forms, routing, context, performance basics</t>
  </si>
  <si>
    <t>Build a responsive multi-page app with loading/error states</t>
  </si>
  <si>
    <t>https://react.dev/learn</t>
  </si>
  <si>
    <t>React Native fundamentals</t>
  </si>
  <si>
    <t>Must-have for RN roles</t>
  </si>
  <si>
    <t>Components, hooks, navigation, platform differences, permissions, app lifecycle</t>
  </si>
  <si>
    <t>Build an Android app with 3 screens and API integration</t>
  </si>
  <si>
    <t>https://reactnative.dev/docs/getting-started</t>
  </si>
  <si>
    <t>Expo + mobile workflow</t>
  </si>
  <si>
    <t>Must-have for fast RN delivery</t>
  </si>
  <si>
    <t>Expo setup, app config, device testing, builds, environment variables</t>
  </si>
  <si>
    <t>Build and share a test build; document setup</t>
  </si>
  <si>
    <t>https://docs.expo.dev/</t>
  </si>
  <si>
    <t>State management</t>
  </si>
  <si>
    <t>Context or Redux Toolkit/Zustand, server state, cache invalidation</t>
  </si>
  <si>
    <t>Implement auth/session state and API query state</t>
  </si>
  <si>
    <t>https://redux-toolkit.js.org/</t>
  </si>
  <si>
    <t>Mobile UX, offline, push notifications</t>
  </si>
  <si>
    <t>Navigation, forms, secure storage, network errors, offline queue basics, push-notification concepts</t>
  </si>
  <si>
    <t>Add offline/error states and test on an actual/emulated device</t>
  </si>
  <si>
    <t>Node.js + Express</t>
  </si>
  <si>
    <t>Routing, middleware, validation, error handling, auth, async operations</t>
  </si>
  <si>
    <t>Build a REST API with validation and clear error responses</t>
  </si>
  <si>
    <t>https://expressjs.com/</t>
  </si>
  <si>
    <t>REST APIs + HTTP</t>
  </si>
  <si>
    <t>Methods/status codes, pagination, filtering, versioning, auth, idempotency basics</t>
  </si>
  <si>
    <t>Document endpoints with examples</t>
  </si>
  <si>
    <t>Authentication + security</t>
  </si>
  <si>
    <t>Sessions/JWT basics, password hashing, authorization, CORS, rate limiting, secret handling</t>
  </si>
  <si>
    <t>Write tests for unauthorized/invalid requests</t>
  </si>
  <si>
    <t>https://owasp.org/www-project-top-ten/</t>
  </si>
  <si>
    <t>Database</t>
  </si>
  <si>
    <t>SQL + PostgreSQL</t>
  </si>
  <si>
    <t>Joins, constraints, indexes, transactions, normalization, migrations</t>
  </si>
  <si>
    <t>Design schema and query examples</t>
  </si>
  <si>
    <t>MongoDB</t>
  </si>
  <si>
    <t>Must-have for MERN</t>
  </si>
  <si>
    <t>Documents, schema design, indexes, aggregation, validation, pagination</t>
  </si>
  <si>
    <t>Design collections and optimize one query</t>
  </si>
  <si>
    <t>https://www.mongodb.com/docs/</t>
  </si>
  <si>
    <t>Unit/integration/API testing</t>
  </si>
  <si>
    <t>Test happy path, validation failures, auth, database behavior, mocks</t>
  </si>
  <si>
    <t>Add automated tests to one project</t>
  </si>
  <si>
    <t>https://vitest.dev/guide/</t>
  </si>
  <si>
    <t>CI/CD + hosting</t>
  </si>
  <si>
    <t>Build pipeline, env vars, logs, health checks, domains, rollback basics</t>
  </si>
  <si>
    <t>Deploy frontend and backend; add README with setup steps</t>
  </si>
  <si>
    <t>https://docs.github.com/en/actions</t>
  </si>
  <si>
    <t>Project documentation + demo</t>
  </si>
  <si>
    <t>Problem, users, architecture, trade-offs, limitations, setup, screenshots, demo URL</t>
  </si>
  <si>
    <t>Polish Swasthya Setu and portfolio README; prepare 2-min pitch</t>
  </si>
  <si>
    <t>https://docs.github.com/en/repositories</t>
  </si>
  <si>
    <t>Domain</t>
  </si>
  <si>
    <t>Resource</t>
  </si>
  <si>
    <t>Link</t>
  </si>
  <si>
    <t>Use it for</t>
  </si>
  <si>
    <t>Progress status</t>
  </si>
  <si>
    <t>Notes</t>
  </si>
  <si>
    <t>Official Python Tutorial</t>
  </si>
  <si>
    <t>Python basics</t>
  </si>
  <si>
    <t>Math/Stats</t>
  </si>
  <si>
    <t>Khan Academy Statistics &amp; Probability</t>
  </si>
  <si>
    <t>Probability, distributions, inference</t>
  </si>
  <si>
    <t>Linear Algebra</t>
  </si>
  <si>
    <t>Khan Academy Linear Algebra</t>
  </si>
  <si>
    <t>Vectors, matrices, embeddings intuition</t>
  </si>
  <si>
    <t>NumPy documentation</t>
  </si>
  <si>
    <t>Array operations</t>
  </si>
  <si>
    <t>pandas documentation</t>
  </si>
  <si>
    <t>Cleaning and EDA</t>
  </si>
  <si>
    <t>ML</t>
  </si>
  <si>
    <t>scikit-learn User Guide</t>
  </si>
  <si>
    <t>https://scikit-learn.org/stable/user_guide.html</t>
  </si>
  <si>
    <t>Classical ML and evaluation</t>
  </si>
  <si>
    <t>DL</t>
  </si>
  <si>
    <t>PyTorch Tutorials</t>
  </si>
  <si>
    <t>DL/NLP</t>
  </si>
  <si>
    <t>Hugging Face Learn</t>
  </si>
  <si>
    <t>Transformers, NLP, LLM foundations</t>
  </si>
  <si>
    <t>OpenAI</t>
  </si>
  <si>
    <t>OpenAI API documentation</t>
  </si>
  <si>
    <t>SDK, responses, tools, embeddings, evals</t>
  </si>
  <si>
    <t>Use server-side API keys; do not commit secrets.</t>
  </si>
  <si>
    <t>LangChain documentation</t>
  </si>
  <si>
    <t>RAG chains and integrations</t>
  </si>
  <si>
    <t>LlamaIndex documentation</t>
  </si>
  <si>
    <t>Document ingestion and retrieval</t>
  </si>
  <si>
    <t>Learn one framework deeply first.</t>
  </si>
  <si>
    <t>RAG evaluation</t>
  </si>
  <si>
    <t>Ragas documentation</t>
  </si>
  <si>
    <t>RAG evaluation concepts</t>
  </si>
  <si>
    <t>Vector DB</t>
  </si>
  <si>
    <t>pgvector</t>
  </si>
  <si>
    <t>Vector similarity in Postgres</t>
  </si>
  <si>
    <t>Agents/MCP</t>
  </si>
  <si>
    <t>Model Context Protocol</t>
  </si>
  <si>
    <t>Tools and MCP basics</t>
  </si>
  <si>
    <t>Understand permissions/trust boundaries.</t>
  </si>
  <si>
    <t>AI safety</t>
  </si>
  <si>
    <t>OWASP Top 10 for LLM Applications</t>
  </si>
  <si>
    <t>Prompt injection and LLM app risks</t>
  </si>
  <si>
    <t>FastAPI docs</t>
  </si>
  <si>
    <t>Serve models and AI APIs</t>
  </si>
  <si>
    <t>React docs</t>
  </si>
  <si>
    <t>Mobile</t>
  </si>
  <si>
    <t>React Native docs</t>
  </si>
  <si>
    <t>Expo docs</t>
  </si>
  <si>
    <t>Build and test RN apps</t>
  </si>
  <si>
    <t>Express docs</t>
  </si>
  <si>
    <t>Node backend</t>
  </si>
  <si>
    <t>PostgreSQL docs</t>
  </si>
  <si>
    <t>SQL/database fundamentals</t>
  </si>
  <si>
    <t>MongoDB docs</t>
  </si>
  <si>
    <t>MERN database</t>
  </si>
  <si>
    <t>DevOps</t>
  </si>
  <si>
    <t>Docker getting started</t>
  </si>
  <si>
    <t>Container basics</t>
  </si>
  <si>
    <t>LeetCode</t>
  </si>
  <si>
    <t>DSA practice</t>
  </si>
  <si>
    <t>SQLBolt</t>
  </si>
  <si>
    <t>SQL practice</t>
  </si>
  <si>
    <t>Project</t>
  </si>
  <si>
    <t>Milestone</t>
  </si>
  <si>
    <t>Checklist item</t>
  </si>
  <si>
    <t>Proof / URL</t>
  </si>
  <si>
    <t>Target date</t>
  </si>
  <si>
    <t>RAG Document Assistant</t>
  </si>
  <si>
    <t>MVP</t>
  </si>
  <si>
    <t>Upload PDFs/text, parse documents, chunk with source metadata</t>
  </si>
  <si>
    <t>Build ingestion pipeline</t>
  </si>
  <si>
    <t>Generate embeddings and persist in a vector store</t>
  </si>
  <si>
    <t>Choose pgvector or Chroma</t>
  </si>
  <si>
    <t>Retrieve top-k relevant chunks and generate answer with citations</t>
  </si>
  <si>
    <t>Add source citations and abstain if no evidence</t>
  </si>
  <si>
    <t>Create 20–30 questions with expected answers/source chunks</t>
  </si>
  <si>
    <t>Build evaluation dataset</t>
  </si>
  <si>
    <t>Measure retrieval quality, groundedness, citation correctness, latency and cost</t>
  </si>
  <si>
    <t>Compare baseline and improved retrieval</t>
  </si>
  <si>
    <t>Production basics</t>
  </si>
  <si>
    <t>Add FastAPI backend, validation, logging, rate limits and safe secrets</t>
  </si>
  <si>
    <t>Add API tests and env vars</t>
  </si>
  <si>
    <t>Dockerize and deploy; write setup/limitations in README</t>
  </si>
  <si>
    <t>Add demo and architecture diagram</t>
  </si>
  <si>
    <t>Full Stack AI App</t>
  </si>
  <si>
    <t>React/TypeScript UI with loading, error, empty and retry states</t>
  </si>
  <si>
    <t>Polish responsive UI</t>
  </si>
  <si>
    <t>Node/Express or FastAPI APIs, auth, validation, database integration</t>
  </si>
  <si>
    <t>Document API routes</t>
  </si>
  <si>
    <t>OpenAI integration</t>
  </si>
  <si>
    <t>Server-side OpenAI API call, streaming, structured outputs or tool calling</t>
  </si>
  <si>
    <t>Keep API key on server only</t>
  </si>
  <si>
    <t>Unit/API tests and a small LLM evaluation set</t>
  </si>
  <si>
    <t>Test invalid inputs and failure modes</t>
  </si>
  <si>
    <t>React Native AI App</t>
  </si>
  <si>
    <t>Mobile MVP</t>
  </si>
  <si>
    <t>React Native/Expo app with navigation and API integration</t>
  </si>
  <si>
    <t>Build 3–4 screens</t>
  </si>
  <si>
    <t>Mobile reliability</t>
  </si>
  <si>
    <t>Loading/error/offline states, secure token storage, permissions where needed</t>
  </si>
  <si>
    <t>Test on Android emulator/device</t>
  </si>
  <si>
    <t>Delivery</t>
  </si>
  <si>
    <t>Build instructions, screenshots, demo video, privacy note and README</t>
  </si>
  <si>
    <t>Publish repo and demo assets</t>
  </si>
  <si>
    <t>Portfolio polish</t>
  </si>
  <si>
    <t>Document architecture, API endpoints, roles, demo data and known limitations</t>
  </si>
  <si>
    <t>Update README and screenshots</t>
  </si>
  <si>
    <t>AI integration</t>
  </si>
  <si>
    <t>Explain ML microservice predictions, input/output, evaluation and limitations</t>
  </si>
  <si>
    <t>Add model evaluation details if available</t>
  </si>
  <si>
    <t>AI + SWE Integrated Product</t>
  </si>
  <si>
    <t>Integration</t>
  </si>
  <si>
    <t>Connect a Python ML/RAG service to a tested backend API and React UI</t>
  </si>
  <si>
    <t>Document API contract, model evaluation, safety, latency/cost and deployment</t>
  </si>
  <si>
    <t>Test API validation, authentication, model failures, grounding and end-to-end user flow</t>
  </si>
  <si>
    <t>Add automated tests and a short evaluation report</t>
  </si>
  <si>
    <t>Deploy frontend, backend and AI service with environment variables and health checks</t>
  </si>
  <si>
    <t>Add architecture diagram, demo URL and reproducible setup steps</t>
  </si>
  <si>
    <t>Source / company</t>
  </si>
  <si>
    <t>What it supports</t>
  </si>
  <si>
    <t>AI-ML Companion — fresher playbook 2026</t>
  </si>
  <si>
    <t>General fresher interview-stage patterns and AI engineering preparation</t>
  </si>
  <si>
    <t>https://aimlcompanion.ai/blog/ai-engineering-fresher-placements-india-2026</t>
  </si>
  <si>
    <t>Third-party overview; company processes still vary by job.</t>
  </si>
  <si>
    <t>FACE Prep — AI/ML interview questions 2026</t>
  </si>
  <si>
    <t>Common AI/ML foundations and role-specific assessment topics</t>
  </si>
  <si>
    <t>https://faceprep.in/article/top-30-ai-ml-interview-questions-for-freshers-2026/</t>
  </si>
  <si>
    <t>Use as a study guide, not a guarantee of exact questions.</t>
  </si>
  <si>
    <t>HCLTech AI/ML fresher listing</t>
  </si>
  <si>
    <t>Example of AI/ML fresher responsibilities and degree-specific eligibility</t>
  </si>
  <si>
    <t>https://careers.hcltech.com/job/Campus-Advanced-Beginner/162110-en_US</t>
  </si>
  <si>
    <t>A listed role may require B.Tech; verify BCA eligibility.</t>
  </si>
  <si>
    <t>Gnosify Careers</t>
  </si>
  <si>
    <t>Published AI/ML, full-stack, React Native role families and hiring process</t>
  </si>
  <si>
    <t>Confirm active opening before applying.</t>
  </si>
  <si>
    <t>RadialBrain Careers</t>
  </si>
  <si>
    <t>Published AI engineering internship / AI + full-stack trainee and process</t>
  </si>
  <si>
    <t>Vatsal Technosoft React + React Native fresher listing</t>
  </si>
  <si>
    <t>Example React Native fresher skills and role scope</t>
  </si>
  <si>
    <t>Verify current availability and employment terms.</t>
  </si>
  <si>
    <t>Origin Softwares Careers</t>
  </si>
  <si>
    <t>Published hiring steps for full-stack/AI-first work</t>
  </si>
  <si>
    <t>Confirm active opening and role level.</t>
  </si>
  <si>
    <t>StayBoba college-hiring listing</t>
  </si>
  <si>
    <t>Example project-based full-stack college hiring process</t>
  </si>
  <si>
    <t>Review assignment time commitment and terms.</t>
  </si>
  <si>
    <t>TCS Careers India</t>
  </si>
  <si>
    <t>Official hiring and graduate pathways</t>
  </si>
  <si>
    <t>Eligibility differs by hiring track.</t>
  </si>
  <si>
    <t>Infosys Careers</t>
  </si>
  <si>
    <t>Official careers / graduate pathways</t>
  </si>
  <si>
    <t>Check exact role requirements.</t>
  </si>
  <si>
    <t>Microsoft Careers</t>
  </si>
  <si>
    <t>Official jobs portal</t>
  </si>
  <si>
    <t>Search India, internship, graduate, AI and mobile roles.</t>
  </si>
  <si>
    <t>Amazon Jobs</t>
  </si>
  <si>
    <t>Search India and filter internship/entry-level.</t>
  </si>
  <si>
    <t>Zoho Careers</t>
  </si>
  <si>
    <t>Search software developer and AI-related openings.</t>
  </si>
  <si>
    <t>BrowserStack Careers</t>
  </si>
  <si>
    <t>Search early-career and frontend/full-stack roles.</t>
  </si>
  <si>
    <t>Important interpretation note</t>
  </si>
  <si>
    <t>Interview rounds in the company tracker are typical patterns or publicly described processes, not guarantees. Job descriptions and hiring programs change; verify the current listing before preparing for a specific sequence.</t>
  </si>
  <si>
    <t>Degree note</t>
  </si>
  <si>
    <t>Because you are pursuing BCA, confirm degree, graduation-year, marks, backlog and experience requirements on every job listing. Some dedicated AI/ML roles specify B.Tech/M.Tech or postgraduate qualifications.</t>
  </si>
  <si>
    <t>Search keywords</t>
  </si>
  <si>
    <t>AI/ML Engineer Intern; Machine Learning Intern; AI Engineer Trainee; GenAI Engineer Intern; Full Stack Developer Intern; React Native Developer; Mobile App Developer; Software Engineer Intern; Graduate Software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</si>
</sst>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32">
    <font>
      <sz val="11"/>
      <color theme="1"/>
      <name val="Calibri"/>
      <charset val="134"/>
    </font>
    <font>
      <b/>
      <sz val="10"/>
      <color rgb="FFFFFFFF"/>
      <name val="Calibri"/>
      <charset val="134"/>
    </font>
    <font>
      <sz val="12"/>
      <color theme="10"/>
      <name val="Calibri"/>
      <charset val="134"/>
    </font>
    <font>
      <b/>
      <sz val="11"/>
      <color rgb="FFFFFFFF"/>
      <name val="Calibri"/>
      <charset val="134"/>
    </font>
    <font>
      <b/>
      <sz val="14"/>
      <color rgb="FF008000"/>
      <name val="Calibri"/>
      <charset val="134"/>
    </font>
    <font>
      <b/>
      <sz val="16"/>
      <color rgb="FFFFFFFF"/>
      <name val="Calibri"/>
      <charset val="134"/>
    </font>
    <font>
      <i/>
      <sz val="11"/>
      <color rgb="FF404040"/>
      <name val="Calibri"/>
      <charset val="134"/>
    </font>
    <font>
      <b/>
      <sz val="15"/>
      <color rgb="FFFFFFFF"/>
      <name val="Calibri"/>
      <charset val="134"/>
    </font>
    <font>
      <b/>
      <sz val="12"/>
      <color rgb="FF17365D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b/>
      <sz val="11"/>
      <color rgb="FF17365D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7FAF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2" fillId="3" borderId="2" xfId="49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49" applyBorder="1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0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180" fontId="0" fillId="3" borderId="2" xfId="0" applyNumberFormat="1" applyFill="1" applyBorder="1" applyAlignment="1">
      <alignment vertical="top" wrapText="1"/>
    </xf>
    <xf numFmtId="180" fontId="0" fillId="0" borderId="2" xfId="0" applyNumberFormat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5" fillId="2" borderId="0" xfId="0" applyFont="1" applyFill="1" applyAlignment="1">
      <alignment vertical="center"/>
    </xf>
    <xf numFmtId="0" fontId="6" fillId="7" borderId="0" xfId="0" applyFont="1" applyFill="1" applyAlignment="1">
      <alignment vertical="center" wrapText="1"/>
    </xf>
    <xf numFmtId="0" fontId="7" fillId="2" borderId="1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 applyAlignment="1">
      <alignment vertical="center" wrapText="1"/>
    </xf>
    <xf numFmtId="0" fontId="3" fillId="4" borderId="2" xfId="0" applyNumberFormat="1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9" fontId="0" fillId="6" borderId="2" xfId="0" applyNumberFormat="1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0" fillId="3" borderId="2" xfId="0" applyNumberFormat="1" applyFont="1" applyFill="1" applyBorder="1" applyAlignment="1">
      <alignment vertical="top" wrapText="1"/>
    </xf>
    <xf numFmtId="0" fontId="0" fillId="0" borderId="2" xfId="0" applyBorder="1"/>
    <xf numFmtId="0" fontId="0" fillId="0" borderId="2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9" fontId="0" fillId="0" borderId="0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10" borderId="2" xfId="0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center" wrapText="1"/>
    </xf>
    <xf numFmtId="0" fontId="9" fillId="11" borderId="2" xfId="0" applyFont="1" applyFill="1" applyBorder="1" applyAlignment="1">
      <alignment vertical="top" wrapText="1"/>
    </xf>
    <xf numFmtId="0" fontId="10" fillId="0" borderId="0" xfId="0" applyFont="1" applyAlignment="1">
      <alignment vertical="center" wrapText="1"/>
    </xf>
    <xf numFmtId="0" fontId="9" fillId="6" borderId="0" xfId="0" applyFont="1" applyFill="1"/>
    <xf numFmtId="0" fontId="10" fillId="0" borderId="0" xfId="0" applyFont="1" applyAlignment="1">
      <alignment vertical="top" wrapText="1"/>
    </xf>
    <xf numFmtId="0" fontId="10" fillId="0" borderId="0" xfId="0" applyFont="1"/>
    <xf numFmtId="0" fontId="0" fillId="3" borderId="0" xfId="0" applyFill="1" applyAlignment="1">
      <alignment vertical="top" wrapText="1"/>
    </xf>
    <xf numFmtId="0" fontId="11" fillId="0" borderId="0" xfId="0" applyFont="1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</cellStyles>
  <dxfs count="23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D174D"/>
      </font>
      <fill>
        <patternFill patternType="solid">
          <bgColor rgb="FFFCE7F3"/>
        </patternFill>
      </fill>
    </dxf>
    <dxf>
      <font>
        <color rgb="FF374151"/>
      </font>
      <fill>
        <patternFill patternType="solid">
          <bgColor rgb="FFF3F4F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2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mpanyRoles" displayName="CompanyRoles" ref="A1:Q28">
  <autoFilter xmlns:etc="http://www.wps.cn/officeDocument/2017/etCustomData" ref="A1:Q28" etc:filterBottomFollowUsedRange="0"/>
  <tableColumns count="17">
    <tableColumn id="1" name="Company"/>
    <tableColumn id="2" name="Track"/>
    <tableColumn id="3" name="Role titles to search"/>
    <tableColumn id="4" name="Priority"/>
    <tableColumn id="5" name="Core skills required"/>
    <tableColumn id="6" name="Helpful / differentiating skills"/>
    <tableColumn id="7" name="Typical interview rounds (not guaranteed)"/>
    <tableColumn id="8" name="Interview types / format"/>
    <tableColumn id="9" name="What to prepare / likely focus"/>
    <tableColumn id="10" name="Eligibility note"/>
    <tableColumn id="11" name="Official careers / role link"/>
    <tableColumn id="12" name="Column1"/>
    <tableColumn id="13" name="Column2"/>
    <tableColumn id="14" name="Column3"/>
    <tableColumn id="15" name="Column4"/>
    <tableColumn id="16" name="Column5"/>
    <tableColumn id="17" name="Column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rviewGuide" displayName="InterviewGuide" ref="A1:F9">
  <autoFilter xmlns:etc="http://www.wps.cn/officeDocument/2017/etCustomData" ref="A1:F9" etc:filterBottomFollowUsedRange="0"/>
  <tableColumns count="6">
    <tableColumn id="1" name="Round / stage"/>
    <tableColumn id="2" name="Common formats"/>
    <tableColumn id="3" name="AI/ML focus"/>
    <tableColumn id="4" name="Full Stack / React Native focus"/>
    <tableColumn id="5" name="Preparation checklist"/>
    <tableColumn id="6" name="Important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sChecklist" displayName="SkillsChecklist" ref="A1:M58">
  <autoFilter xmlns:etc="http://www.wps.cn/officeDocument/2017/etCustomData" ref="A1:M58" etc:filterBottomFollowUsedRange="0"/>
  <tableColumns count="13">
    <tableColumn id="1" name="Track"/>
    <tableColumn id="2" name="Skill / topic"/>
    <tableColumn id="3" name="Priority"/>
    <tableColumn id="4" name="What you should be able to demonstrate"/>
    <tableColumn id="5" name="Suggested evidence / project"/>
    <tableColumn id="6" name="Column1"/>
    <tableColumn id="7" name="Column2"/>
    <tableColumn id="8" name="Column3"/>
    <tableColumn id="9" name="Column4"/>
    <tableColumn id="10" name="Column5"/>
    <tableColumn id="11" name="Column6"/>
    <tableColumn id="12" name="Column7"/>
    <tableColumn id="13" name="Column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Notes" displayName="SourcesNotes" ref="A1:D15">
  <autoFilter xmlns:etc="http://www.wps.cn/officeDocument/2017/etCustomData" ref="A1:D15" etc:filterBottomFollowUsedRange="0"/>
  <tableColumns count="4">
    <tableColumn id="1" name="Source / company"/>
    <tableColumn id="2" name="What it supports"/>
    <tableColumn id="3" name="Link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careers.hcltech.com/" TargetMode="External"/><Relationship Id="rId8" Type="http://schemas.openxmlformats.org/officeDocument/2006/relationships/hyperlink" Target="https://www.infosys.com/careers/" TargetMode="External"/><Relationship Id="rId7" Type="http://schemas.openxmlformats.org/officeDocument/2006/relationships/hyperlink" Target="https://www.tcs.com/careers/india" TargetMode="External"/><Relationship Id="rId6" Type="http://schemas.openxmlformats.org/officeDocument/2006/relationships/hyperlink" Target="https://www.accenture.com/in-en/careers" TargetMode="External"/><Relationship Id="rId5" Type="http://schemas.openxmlformats.org/officeDocument/2006/relationships/hyperlink" Target="https://careers.adobe.com/" TargetMode="External"/><Relationship Id="rId4" Type="http://schemas.openxmlformats.org/officeDocument/2006/relationships/hyperlink" Target="https://www.google.com/about/careers/applications/" TargetMode="External"/><Relationship Id="rId3" Type="http://schemas.openxmlformats.org/officeDocument/2006/relationships/hyperlink" Target="https://www.amazon.jobs/" TargetMode="External"/><Relationship Id="rId24" Type="http://schemas.openxmlformats.org/officeDocument/2006/relationships/hyperlink" Target="https://careers.stayboba.com/apply/full-stack-college/" TargetMode="External"/><Relationship Id="rId23" Type="http://schemas.openxmlformats.org/officeDocument/2006/relationships/hyperlink" Target="https://www.originsoftwares.com/careers" TargetMode="External"/><Relationship Id="rId22" Type="http://schemas.openxmlformats.org/officeDocument/2006/relationships/hyperlink" Target="https://www.recruit.vatsaltechnosoft.com/jobs/react-react-native-freshers" TargetMode="External"/><Relationship Id="rId21" Type="http://schemas.openxmlformats.org/officeDocument/2006/relationships/hyperlink" Target="https://www.radialbrain.com/careers/" TargetMode="External"/><Relationship Id="rId20" Type="http://schemas.openxmlformats.org/officeDocument/2006/relationships/hyperlink" Target="https://www.gnosify.in/careers" TargetMode="External"/><Relationship Id="rId2" Type="http://schemas.openxmlformats.org/officeDocument/2006/relationships/hyperlink" Target="https://careers.microsoft.com/" TargetMode="External"/><Relationship Id="rId19" Type="http://schemas.openxmlformats.org/officeDocument/2006/relationships/hyperlink" Target="https://www.postman.com/company/careers/" TargetMode="External"/><Relationship Id="rId18" Type="http://schemas.openxmlformats.org/officeDocument/2006/relationships/hyperlink" Target="https://www.browserstack.com/careers/" TargetMode="External"/><Relationship Id="rId17" Type="http://schemas.openxmlformats.org/officeDocument/2006/relationships/hyperlink" Target="https://groww.in/careers" TargetMode="External"/><Relationship Id="rId16" Type="http://schemas.openxmlformats.org/officeDocument/2006/relationships/hyperlink" Target="https://www.meesho.io/jobs" TargetMode="External"/><Relationship Id="rId15" Type="http://schemas.openxmlformats.org/officeDocument/2006/relationships/hyperlink" Target="https://www.phonepe.com/careers/" TargetMode="External"/><Relationship Id="rId14" Type="http://schemas.openxmlformats.org/officeDocument/2006/relationships/hyperlink" Target="https://razorpay.com/jobs/" TargetMode="External"/><Relationship Id="rId13" Type="http://schemas.openxmlformats.org/officeDocument/2006/relationships/hyperlink" Target="https://www.freshworks.com/company/careers/" TargetMode="External"/><Relationship Id="rId12" Type="http://schemas.openxmlformats.org/officeDocument/2006/relationships/hyperlink" Target="https://www.zoho.com/careers.html" TargetMode="External"/><Relationship Id="rId11" Type="http://schemas.openxmlformats.org/officeDocument/2006/relationships/hyperlink" Target="https://careers.cognizant.com/india-en/" TargetMode="External"/><Relationship Id="rId10" Type="http://schemas.openxmlformats.org/officeDocument/2006/relationships/hyperlink" Target="https://careers.wipro.com/" TargetMode="Externa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careers.microsoft.com/" TargetMode="External"/><Relationship Id="rId8" Type="http://schemas.openxmlformats.org/officeDocument/2006/relationships/hyperlink" Target="https://careers.nexentia.in/" TargetMode="External"/><Relationship Id="rId7" Type="http://schemas.openxmlformats.org/officeDocument/2006/relationships/hyperlink" Target="https://growifyindia.com/careers/react-native-intern-developer" TargetMode="External"/><Relationship Id="rId6" Type="http://schemas.openxmlformats.org/officeDocument/2006/relationships/hyperlink" Target="https://candidates.vibrantminds.in/campus-drives/detail.php?id=19" TargetMode="External"/><Relationship Id="rId5" Type="http://schemas.openxmlformats.org/officeDocument/2006/relationships/hyperlink" Target="https://www.globexcoders.in/careers" TargetMode="External"/><Relationship Id="rId4" Type="http://schemas.openxmlformats.org/officeDocument/2006/relationships/hyperlink" Target="https://astriziontechnologies.com/careers" TargetMode="External"/><Relationship Id="rId3" Type="http://schemas.openxmlformats.org/officeDocument/2006/relationships/hyperlink" Target="https://pritas.in/company/careers" TargetMode="External"/><Relationship Id="rId28" Type="http://schemas.openxmlformats.org/officeDocument/2006/relationships/hyperlink" Target="https://www.originsoftwares.com/careers" TargetMode="External"/><Relationship Id="rId27" Type="http://schemas.openxmlformats.org/officeDocument/2006/relationships/hyperlink" Target="https://www.gnosify.in/careers" TargetMode="External"/><Relationship Id="rId26" Type="http://schemas.openxmlformats.org/officeDocument/2006/relationships/hyperlink" Target="https://www.postman.com/company/careers/" TargetMode="External"/><Relationship Id="rId25" Type="http://schemas.openxmlformats.org/officeDocument/2006/relationships/hyperlink" Target="https://www.browserstack.com/careers/" TargetMode="External"/><Relationship Id="rId24" Type="http://schemas.openxmlformats.org/officeDocument/2006/relationships/hyperlink" Target="https://groww.in/careers" TargetMode="External"/><Relationship Id="rId23" Type="http://schemas.openxmlformats.org/officeDocument/2006/relationships/hyperlink" Target="https://www.meesho.io/jobs" TargetMode="External"/><Relationship Id="rId22" Type="http://schemas.openxmlformats.org/officeDocument/2006/relationships/hyperlink" Target="https://www.phonepe.com/careers/" TargetMode="External"/><Relationship Id="rId21" Type="http://schemas.openxmlformats.org/officeDocument/2006/relationships/hyperlink" Target="https://razorpay.com/jobs/" TargetMode="External"/><Relationship Id="rId20" Type="http://schemas.openxmlformats.org/officeDocument/2006/relationships/hyperlink" Target="https://www.freshworks.com/company/careers/" TargetMode="External"/><Relationship Id="rId2" Type="http://schemas.openxmlformats.org/officeDocument/2006/relationships/hyperlink" Target="https://www.radialbrain.com/careers/" TargetMode="External"/><Relationship Id="rId19" Type="http://schemas.openxmlformats.org/officeDocument/2006/relationships/hyperlink" Target="https://www.zoho.com/careers.html" TargetMode="External"/><Relationship Id="rId18" Type="http://schemas.openxmlformats.org/officeDocument/2006/relationships/hyperlink" Target="https://careers.cognizant.com/india-en/" TargetMode="External"/><Relationship Id="rId17" Type="http://schemas.openxmlformats.org/officeDocument/2006/relationships/hyperlink" Target="https://careers.wipro.com/" TargetMode="External"/><Relationship Id="rId16" Type="http://schemas.openxmlformats.org/officeDocument/2006/relationships/hyperlink" Target="https://careers.hcltech.com/" TargetMode="External"/><Relationship Id="rId15" Type="http://schemas.openxmlformats.org/officeDocument/2006/relationships/hyperlink" Target="https://www.infosys.com/careers/" TargetMode="External"/><Relationship Id="rId14" Type="http://schemas.openxmlformats.org/officeDocument/2006/relationships/hyperlink" Target="https://www.tcs.com/careers/india" TargetMode="External"/><Relationship Id="rId13" Type="http://schemas.openxmlformats.org/officeDocument/2006/relationships/hyperlink" Target="https://www.accenture.com/in-en/careers" TargetMode="External"/><Relationship Id="rId12" Type="http://schemas.openxmlformats.org/officeDocument/2006/relationships/hyperlink" Target="https://careers.adobe.com/" TargetMode="External"/><Relationship Id="rId11" Type="http://schemas.openxmlformats.org/officeDocument/2006/relationships/hyperlink" Target="https://www.google.com/about/careers/applications/" TargetMode="External"/><Relationship Id="rId10" Type="http://schemas.openxmlformats.org/officeDocument/2006/relationships/hyperlink" Target="https://www.amazon.jobs/" TargetMode="External"/><Relationship Id="rId1" Type="http://schemas.openxmlformats.org/officeDocument/2006/relationships/hyperlink" Target="https://careers.sabreailabs.in/opportunitie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hanacademy.org/math/linear-algebra" TargetMode="External"/><Relationship Id="rId8" Type="http://schemas.openxmlformats.org/officeDocument/2006/relationships/hyperlink" Target="https://missing.csail.mit.edu/" TargetMode="External"/><Relationship Id="rId7" Type="http://schemas.openxmlformats.org/officeDocument/2006/relationships/hyperlink" Target="https://docs.github.com/en" TargetMode="External"/><Relationship Id="rId6" Type="http://schemas.openxmlformats.org/officeDocument/2006/relationships/hyperlink" Target="https://www.geeksforgeeks.org/" TargetMode="External"/><Relationship Id="rId53" Type="http://schemas.openxmlformats.org/officeDocument/2006/relationships/hyperlink" Target="https://docs.github.com/en/repositories" TargetMode="External"/><Relationship Id="rId52" Type="http://schemas.openxmlformats.org/officeDocument/2006/relationships/hyperlink" Target="https://docs.github.com/en/actions" TargetMode="External"/><Relationship Id="rId51" Type="http://schemas.openxmlformats.org/officeDocument/2006/relationships/hyperlink" Target="https://vitest.dev/guide/" TargetMode="External"/><Relationship Id="rId50" Type="http://schemas.openxmlformats.org/officeDocument/2006/relationships/hyperlink" Target="https://www.mongodb.com/docs/" TargetMode="External"/><Relationship Id="rId5" Type="http://schemas.openxmlformats.org/officeDocument/2006/relationships/hyperlink" Target="https://leetcode.com/problemset/" TargetMode="External"/><Relationship Id="rId49" Type="http://schemas.openxmlformats.org/officeDocument/2006/relationships/hyperlink" Target="https://www.postgresql.org/docs/" TargetMode="External"/><Relationship Id="rId48" Type="http://schemas.openxmlformats.org/officeDocument/2006/relationships/hyperlink" Target="https://owasp.org/www-project-top-ten/" TargetMode="External"/><Relationship Id="rId47" Type="http://schemas.openxmlformats.org/officeDocument/2006/relationships/hyperlink" Target="https://developer.mozilla.org/en-US/docs/Web/HTTP" TargetMode="External"/><Relationship Id="rId46" Type="http://schemas.openxmlformats.org/officeDocument/2006/relationships/hyperlink" Target="https://expressjs.com/" TargetMode="External"/><Relationship Id="rId45" Type="http://schemas.openxmlformats.org/officeDocument/2006/relationships/hyperlink" Target="https://redux-toolkit.js.org/" TargetMode="External"/><Relationship Id="rId44" Type="http://schemas.openxmlformats.org/officeDocument/2006/relationships/hyperlink" Target="https://docs.expo.dev/" TargetMode="External"/><Relationship Id="rId43" Type="http://schemas.openxmlformats.org/officeDocument/2006/relationships/hyperlink" Target="https://reactnative.dev/docs/getting-started" TargetMode="External"/><Relationship Id="rId42" Type="http://schemas.openxmlformats.org/officeDocument/2006/relationships/hyperlink" Target="https://react.dev/learn" TargetMode="External"/><Relationship Id="rId41" Type="http://schemas.openxmlformats.org/officeDocument/2006/relationships/hyperlink" Target="https://aws.amazon.com/getting-started/" TargetMode="External"/><Relationship Id="rId40" Type="http://schemas.openxmlformats.org/officeDocument/2006/relationships/hyperlink" Target="https://mlflow.org/docs/latest/index.html" TargetMode="External"/><Relationship Id="rId4" Type="http://schemas.openxmlformats.org/officeDocument/2006/relationships/hyperlink" Target="https://www.typescriptlang.org/docs/" TargetMode="External"/><Relationship Id="rId39" Type="http://schemas.openxmlformats.org/officeDocument/2006/relationships/hyperlink" Target="https://docs.docker.com/get-started/" TargetMode="External"/><Relationship Id="rId38" Type="http://schemas.openxmlformats.org/officeDocument/2006/relationships/hyperlink" Target="https://fastapi.tiangolo.com/" TargetMode="External"/><Relationship Id="rId37" Type="http://schemas.openxmlformats.org/officeDocument/2006/relationships/hyperlink" Target="https://owasp.org/www-project-top-10-for-large-language-model-applications/" TargetMode="External"/><Relationship Id="rId36" Type="http://schemas.openxmlformats.org/officeDocument/2006/relationships/hyperlink" Target="https://modelcontextprotocol.io/introduction" TargetMode="External"/><Relationship Id="rId35" Type="http://schemas.openxmlformats.org/officeDocument/2006/relationships/hyperlink" Target="https://docs.llamaindex.ai/" TargetMode="External"/><Relationship Id="rId34" Type="http://schemas.openxmlformats.org/officeDocument/2006/relationships/hyperlink" Target="https://docs.ragas.io/" TargetMode="External"/><Relationship Id="rId33" Type="http://schemas.openxmlformats.org/officeDocument/2006/relationships/hyperlink" Target="https://www.elastic.co/what-is/hybrid-search" TargetMode="External"/><Relationship Id="rId32" Type="http://schemas.openxmlformats.org/officeDocument/2006/relationships/hyperlink" Target="https://github.com/pgvector/pgvector" TargetMode="External"/><Relationship Id="rId31" Type="http://schemas.openxmlformats.org/officeDocument/2006/relationships/hyperlink" Target="https://python.langchain.com/docs/" TargetMode="External"/><Relationship Id="rId30" Type="http://schemas.openxmlformats.org/officeDocument/2006/relationships/hyperlink" Target="https://www.deeplearning.ai/short-courses/" TargetMode="External"/><Relationship Id="rId3" Type="http://schemas.openxmlformats.org/officeDocument/2006/relationships/hyperlink" Target="https://developer.mozilla.org/en-US/docs/Web/JavaScript" TargetMode="External"/><Relationship Id="rId29" Type="http://schemas.openxmlformats.org/officeDocument/2006/relationships/hyperlink" Target="https://platform.openai.com/docs/guides/evals" TargetMode="External"/><Relationship Id="rId28" Type="http://schemas.openxmlformats.org/officeDocument/2006/relationships/hyperlink" Target="https://platform.openai.com/docs/guides/embeddings" TargetMode="External"/><Relationship Id="rId27" Type="http://schemas.openxmlformats.org/officeDocument/2006/relationships/hyperlink" Target="https://platform.openai.com/docs/guides/prompt-engineering" TargetMode="External"/><Relationship Id="rId26" Type="http://schemas.openxmlformats.org/officeDocument/2006/relationships/hyperlink" Target="https://platform.openai.com/docs/guides/" TargetMode="External"/><Relationship Id="rId25" Type="http://schemas.openxmlformats.org/officeDocument/2006/relationships/hyperlink" Target="https://platform.openai.com/docs/" TargetMode="External"/><Relationship Id="rId24" Type="http://schemas.openxmlformats.org/officeDocument/2006/relationships/hyperlink" Target="https://huggingface.co/learn" TargetMode="External"/><Relationship Id="rId23" Type="http://schemas.openxmlformats.org/officeDocument/2006/relationships/hyperlink" Target="https://pytorch.org/tutorials/beginner/blitz/cifar10_tutorial.html" TargetMode="External"/><Relationship Id="rId22" Type="http://schemas.openxmlformats.org/officeDocument/2006/relationships/hyperlink" Target="https://www.tensorflow.org/tutorials" TargetMode="External"/><Relationship Id="rId21" Type="http://schemas.openxmlformats.org/officeDocument/2006/relationships/hyperlink" Target="https://pytorch.org/tutorials/" TargetMode="External"/><Relationship Id="rId20" Type="http://schemas.openxmlformats.org/officeDocument/2006/relationships/hyperlink" Target="https://www.deeplearning.ai/" TargetMode="External"/><Relationship Id="rId2" Type="http://schemas.openxmlformats.org/officeDocument/2006/relationships/hyperlink" Target="https://docs.python.org/3/tutorial/" TargetMode="External"/><Relationship Id="rId19" Type="http://schemas.openxmlformats.org/officeDocument/2006/relationships/hyperlink" Target="https://www.nist.gov/itl/ai-risk-management-framework" TargetMode="External"/><Relationship Id="rId18" Type="http://schemas.openxmlformats.org/officeDocument/2006/relationships/hyperlink" Target="https://scikit-learn.org/stable/common_pitfalls.html" TargetMode="External"/><Relationship Id="rId17" Type="http://schemas.openxmlformats.org/officeDocument/2006/relationships/hyperlink" Target="https://scikit-learn.org/stable/modules/model_evaluation.html" TargetMode="External"/><Relationship Id="rId16" Type="http://schemas.openxmlformats.org/officeDocument/2006/relationships/hyperlink" Target="https://scikit-learn.org/stable/modules/compose.html" TargetMode="External"/><Relationship Id="rId15" Type="http://schemas.openxmlformats.org/officeDocument/2006/relationships/hyperlink" Target="https://scikit-learn.org/stable/unsupervised_learning.html" TargetMode="External"/><Relationship Id="rId14" Type="http://schemas.openxmlformats.org/officeDocument/2006/relationships/hyperlink" Target="https://scikit-learn.org/stable/supervised_learning.html" TargetMode="External"/><Relationship Id="rId13" Type="http://schemas.openxmlformats.org/officeDocument/2006/relationships/hyperlink" Target="https://sqlbolt.com/" TargetMode="External"/><Relationship Id="rId12" Type="http://schemas.openxmlformats.org/officeDocument/2006/relationships/hyperlink" Target="https://pandas.pydata.org/docs/" TargetMode="External"/><Relationship Id="rId11" Type="http://schemas.openxmlformats.org/officeDocument/2006/relationships/hyperlink" Target="https://numpy.org/doc/stable/user/" TargetMode="External"/><Relationship Id="rId10" Type="http://schemas.openxmlformats.org/officeDocument/2006/relationships/hyperlink" Target="https://www.khanacademy.org/math/statistics-probability" TargetMode="Externa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platform.openai.com/docs/" TargetMode="External"/><Relationship Id="rId8" Type="http://schemas.openxmlformats.org/officeDocument/2006/relationships/hyperlink" Target="https://huggingface.co/learn" TargetMode="External"/><Relationship Id="rId7" Type="http://schemas.openxmlformats.org/officeDocument/2006/relationships/hyperlink" Target="https://pytorch.org/tutorials/" TargetMode="External"/><Relationship Id="rId6" Type="http://schemas.openxmlformats.org/officeDocument/2006/relationships/hyperlink" Target="https://scikit-learn.org/stable/user_guide.html" TargetMode="External"/><Relationship Id="rId5" Type="http://schemas.openxmlformats.org/officeDocument/2006/relationships/hyperlink" Target="https://pandas.pydata.org/docs/" TargetMode="External"/><Relationship Id="rId4" Type="http://schemas.openxmlformats.org/officeDocument/2006/relationships/hyperlink" Target="https://numpy.org/doc/stable/user/" TargetMode="External"/><Relationship Id="rId3" Type="http://schemas.openxmlformats.org/officeDocument/2006/relationships/hyperlink" Target="https://www.khanacademy.org/math/linear-algebra" TargetMode="External"/><Relationship Id="rId25" Type="http://schemas.openxmlformats.org/officeDocument/2006/relationships/hyperlink" Target="https://sqlbolt.com/" TargetMode="External"/><Relationship Id="rId24" Type="http://schemas.openxmlformats.org/officeDocument/2006/relationships/hyperlink" Target="https://leetcode.com/problemset/" TargetMode="External"/><Relationship Id="rId23" Type="http://schemas.openxmlformats.org/officeDocument/2006/relationships/hyperlink" Target="https://docs.docker.com/get-started/" TargetMode="External"/><Relationship Id="rId22" Type="http://schemas.openxmlformats.org/officeDocument/2006/relationships/hyperlink" Target="https://www.mongodb.com/docs/" TargetMode="External"/><Relationship Id="rId21" Type="http://schemas.openxmlformats.org/officeDocument/2006/relationships/hyperlink" Target="https://www.postgresql.org/docs/" TargetMode="External"/><Relationship Id="rId20" Type="http://schemas.openxmlformats.org/officeDocument/2006/relationships/hyperlink" Target="https://expressjs.com/" TargetMode="External"/><Relationship Id="rId2" Type="http://schemas.openxmlformats.org/officeDocument/2006/relationships/hyperlink" Target="https://www.khanacademy.org/math/statistics-probability" TargetMode="External"/><Relationship Id="rId19" Type="http://schemas.openxmlformats.org/officeDocument/2006/relationships/hyperlink" Target="https://docs.expo.dev/" TargetMode="External"/><Relationship Id="rId18" Type="http://schemas.openxmlformats.org/officeDocument/2006/relationships/hyperlink" Target="https://reactnative.dev/docs/getting-started" TargetMode="External"/><Relationship Id="rId17" Type="http://schemas.openxmlformats.org/officeDocument/2006/relationships/hyperlink" Target="https://react.dev/learn" TargetMode="External"/><Relationship Id="rId16" Type="http://schemas.openxmlformats.org/officeDocument/2006/relationships/hyperlink" Target="https://fastapi.tiangolo.com/" TargetMode="External"/><Relationship Id="rId15" Type="http://schemas.openxmlformats.org/officeDocument/2006/relationships/hyperlink" Target="https://owasp.org/www-project-top-10-for-large-language-model-applications/" TargetMode="External"/><Relationship Id="rId14" Type="http://schemas.openxmlformats.org/officeDocument/2006/relationships/hyperlink" Target="https://modelcontextprotocol.io/introduction" TargetMode="External"/><Relationship Id="rId13" Type="http://schemas.openxmlformats.org/officeDocument/2006/relationships/hyperlink" Target="https://github.com/pgvector/pgvector" TargetMode="External"/><Relationship Id="rId12" Type="http://schemas.openxmlformats.org/officeDocument/2006/relationships/hyperlink" Target="https://docs.ragas.io/" TargetMode="External"/><Relationship Id="rId11" Type="http://schemas.openxmlformats.org/officeDocument/2006/relationships/hyperlink" Target="https://docs.llamaindex.ai/" TargetMode="External"/><Relationship Id="rId10" Type="http://schemas.openxmlformats.org/officeDocument/2006/relationships/hyperlink" Target="https://python.langchain.com/docs/" TargetMode="External"/><Relationship Id="rId1" Type="http://schemas.openxmlformats.org/officeDocument/2006/relationships/hyperlink" Target="https://docs.python.org/3/tutorial/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careers.stayboba.com/apply/full-stack-college/" TargetMode="External"/><Relationship Id="rId8" Type="http://schemas.openxmlformats.org/officeDocument/2006/relationships/hyperlink" Target="https://www.originsoftwares.com/careers" TargetMode="External"/><Relationship Id="rId7" Type="http://schemas.openxmlformats.org/officeDocument/2006/relationships/hyperlink" Target="https://www.recruit.vatsaltechnosoft.com/jobs/react-react-native-freshers" TargetMode="External"/><Relationship Id="rId6" Type="http://schemas.openxmlformats.org/officeDocument/2006/relationships/hyperlink" Target="https://www.radialbrain.com/careers/" TargetMode="External"/><Relationship Id="rId5" Type="http://schemas.openxmlformats.org/officeDocument/2006/relationships/hyperlink" Target="https://www.gnosify.in/careers" TargetMode="External"/><Relationship Id="rId4" Type="http://schemas.openxmlformats.org/officeDocument/2006/relationships/hyperlink" Target="https://careers.hcltech.com/job/Campus-Advanced-Beginner/162110-en_US" TargetMode="External"/><Relationship Id="rId3" Type="http://schemas.openxmlformats.org/officeDocument/2006/relationships/hyperlink" Target="https://faceprep.in/article/top-30-ai-ml-interview-questions-for-freshers-2026/" TargetMode="External"/><Relationship Id="rId2" Type="http://schemas.openxmlformats.org/officeDocument/2006/relationships/hyperlink" Target="https://aimlcompanion.ai/blog/ai-engineering-fresher-placements-india-2026" TargetMode="External"/><Relationship Id="rId15" Type="http://schemas.openxmlformats.org/officeDocument/2006/relationships/hyperlink" Target="https://www.browserstack.com/careers/" TargetMode="External"/><Relationship Id="rId14" Type="http://schemas.openxmlformats.org/officeDocument/2006/relationships/hyperlink" Target="https://www.zoho.com/careers.html" TargetMode="External"/><Relationship Id="rId13" Type="http://schemas.openxmlformats.org/officeDocument/2006/relationships/hyperlink" Target="https://www.amazon.jobs/" TargetMode="External"/><Relationship Id="rId12" Type="http://schemas.openxmlformats.org/officeDocument/2006/relationships/hyperlink" Target="https://careers.microsoft.com/" TargetMode="External"/><Relationship Id="rId11" Type="http://schemas.openxmlformats.org/officeDocument/2006/relationships/hyperlink" Target="https://www.infosys.com/careers/" TargetMode="External"/><Relationship Id="rId10" Type="http://schemas.openxmlformats.org/officeDocument/2006/relationships/hyperlink" Target="https://www.tcs.com/careers/india" TargetMode="Externa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28" customWidth="1"/>
    <col min="2" max="6" width="18" customWidth="1"/>
  </cols>
  <sheetData>
    <row r="1" ht="32" customHeight="1" spans="1:6">
      <c r="A1" s="34" t="s">
        <v>0</v>
      </c>
      <c r="B1" s="35"/>
      <c r="C1" s="35"/>
      <c r="D1" s="35"/>
      <c r="E1" s="35"/>
      <c r="F1" s="35"/>
    </row>
    <row r="2" spans="1:6">
      <c r="A2" s="2"/>
      <c r="B2" s="2"/>
      <c r="C2" s="2"/>
      <c r="D2" s="2"/>
      <c r="E2" s="2"/>
      <c r="F2" s="2"/>
    </row>
    <row r="3" ht="15.6" spans="1:6">
      <c r="A3" s="23" t="s">
        <v>1</v>
      </c>
      <c r="B3" s="4"/>
      <c r="C3" s="4"/>
      <c r="D3" s="4"/>
      <c r="E3" s="4"/>
      <c r="F3" s="4"/>
    </row>
    <row r="4" ht="30" customHeight="1" spans="1:6">
      <c r="A4" s="2" t="s">
        <v>2</v>
      </c>
      <c r="B4" s="25"/>
      <c r="C4" s="25"/>
      <c r="D4" s="25"/>
      <c r="E4" s="25"/>
      <c r="F4" s="25"/>
    </row>
    <row r="5" ht="30" customHeight="1" spans="1:6">
      <c r="A5" s="36" t="s">
        <v>3</v>
      </c>
      <c r="B5" s="25"/>
      <c r="C5" s="25"/>
      <c r="D5" s="25"/>
      <c r="E5" s="25"/>
      <c r="F5" s="25"/>
    </row>
    <row r="6" ht="30" customHeight="1" spans="1:6">
      <c r="A6" s="2" t="s">
        <v>4</v>
      </c>
      <c r="B6" s="25"/>
      <c r="C6" s="25"/>
      <c r="D6" s="25"/>
      <c r="E6" s="25"/>
      <c r="F6" s="25"/>
    </row>
    <row r="7" ht="30" customHeight="1" spans="1:6">
      <c r="A7" s="36" t="s">
        <v>5</v>
      </c>
      <c r="B7" s="25"/>
      <c r="C7" s="25"/>
      <c r="D7" s="25"/>
      <c r="E7" s="25"/>
      <c r="F7" s="25"/>
    </row>
    <row r="8" ht="30" customHeight="1" spans="1:6">
      <c r="A8" s="2" t="s">
        <v>6</v>
      </c>
      <c r="B8" s="25"/>
      <c r="C8" s="25"/>
      <c r="D8" s="25"/>
      <c r="E8" s="25"/>
      <c r="F8" s="25"/>
    </row>
    <row r="9" ht="30" customHeight="1" spans="1:6">
      <c r="A9" s="36" t="s">
        <v>7</v>
      </c>
      <c r="B9" s="25"/>
      <c r="C9" s="25"/>
      <c r="D9" s="25"/>
      <c r="E9" s="25"/>
      <c r="F9" s="25"/>
    </row>
    <row r="10" ht="35" customHeight="1" spans="1:6">
      <c r="A10" s="2" t="s">
        <v>8</v>
      </c>
      <c r="B10" s="25"/>
      <c r="C10" s="25"/>
      <c r="D10" s="25"/>
      <c r="E10" s="25"/>
      <c r="F10" s="25"/>
    </row>
    <row r="11" spans="1:6">
      <c r="A11" s="36"/>
      <c r="B11" s="36"/>
      <c r="C11" s="36"/>
      <c r="D11" s="36"/>
      <c r="E11" s="36"/>
      <c r="F11" s="36"/>
    </row>
    <row r="12" spans="1:6">
      <c r="A12" s="37" t="s">
        <v>9</v>
      </c>
      <c r="B12" s="25"/>
      <c r="C12" s="25"/>
      <c r="D12" s="25"/>
      <c r="E12" s="25"/>
      <c r="F12" s="25"/>
    </row>
    <row r="13" ht="30" customHeight="1" spans="1:6">
      <c r="A13" s="38" t="s">
        <v>10</v>
      </c>
      <c r="B13" s="39" t="s">
        <v>11</v>
      </c>
      <c r="C13" s="25"/>
      <c r="D13" s="25"/>
      <c r="E13" s="25"/>
      <c r="F13" s="25"/>
    </row>
    <row r="14" ht="30" customHeight="1" spans="1:6">
      <c r="A14" s="40" t="s">
        <v>12</v>
      </c>
      <c r="B14" s="41" t="s">
        <v>13</v>
      </c>
    </row>
    <row r="15" ht="30" customHeight="1" spans="1:6">
      <c r="A15" s="42" t="s">
        <v>14</v>
      </c>
      <c r="B15" s="41" t="s">
        <v>15</v>
      </c>
    </row>
    <row r="16" ht="48" customHeight="1" spans="1:6">
      <c r="A16" s="43"/>
      <c r="B16" s="44"/>
      <c r="C16" s="44"/>
      <c r="D16" s="44"/>
      <c r="E16" s="44"/>
      <c r="F16" s="44"/>
    </row>
    <row r="17" ht="48" customHeight="1" spans="1:1">
      <c r="A17" s="45" t="s">
        <v>16</v>
      </c>
    </row>
    <row r="19" ht="30" customHeight="1" spans="1:1">
      <c r="A19" s="46" t="s">
        <v>17</v>
      </c>
    </row>
  </sheetData>
  <mergeCells count="13">
    <mergeCell ref="A1:F1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A19:F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pane ySplit="3" topLeftCell="A17" activePane="bottomLeft" state="frozen"/>
      <selection/>
      <selection pane="bottomLeft" activeCell="A1" sqref="A1:F1"/>
    </sheetView>
  </sheetViews>
  <sheetFormatPr defaultColWidth="9" defaultRowHeight="14.4" outlineLevelCol="6"/>
  <cols>
    <col min="1" max="1" width="42" customWidth="1"/>
    <col min="2" max="7" width="17" customWidth="1"/>
  </cols>
  <sheetData>
    <row r="1" ht="30" customHeight="1" spans="1:7">
      <c r="A1" s="17" t="s">
        <v>18</v>
      </c>
      <c r="B1" s="17"/>
      <c r="C1" s="17"/>
      <c r="D1" s="17"/>
      <c r="E1" s="17"/>
      <c r="F1" s="17"/>
      <c r="G1" s="18"/>
    </row>
    <row r="2" spans="1:7">
      <c r="A2" s="2"/>
      <c r="B2" s="2"/>
      <c r="C2" s="2"/>
      <c r="D2" s="2"/>
      <c r="E2" s="2"/>
      <c r="F2" s="2"/>
    </row>
    <row r="3" spans="1:7">
      <c r="A3" s="19" t="s">
        <v>19</v>
      </c>
      <c r="B3" s="19" t="s">
        <v>20</v>
      </c>
      <c r="C3" s="20"/>
      <c r="D3" s="20"/>
      <c r="E3" s="20"/>
      <c r="F3" s="20"/>
    </row>
    <row r="4" spans="1:7">
      <c r="A4" s="2" t="s">
        <v>21</v>
      </c>
      <c r="B4" s="2">
        <f>COUNTA('SWE Roadmap'!$C$4:$C$20)+COUNTA('AI ML Roadmap'!$C$4:$C$24)+COUNTA('AI + SWE Integration'!$C$4:$C$20)</f>
        <v>55</v>
      </c>
      <c r="C4" s="2"/>
      <c r="D4" s="2"/>
      <c r="E4" s="2"/>
      <c r="F4" s="2"/>
    </row>
    <row r="5" spans="1:7">
      <c r="A5" s="21" t="s">
        <v>22</v>
      </c>
      <c r="B5" s="14">
        <f>COUNTIF('SWE Roadmap'!$E$4:$E$20,"Done")+COUNTIF('AI ML Roadmap'!$E$4:$E$24,"Done")+COUNTIF('AI + SWE Integration'!$E$4:$E$20,"Done")</f>
        <v>1</v>
      </c>
      <c r="C5" s="4"/>
      <c r="D5" s="4"/>
      <c r="E5" s="4"/>
      <c r="F5" s="4"/>
    </row>
    <row r="6" spans="1:7">
      <c r="A6" s="2" t="s">
        <v>23</v>
      </c>
      <c r="B6" s="2">
        <f>COUNTIF('SWE Roadmap'!$E$4:$E$20,"Pending")+COUNTIF('AI ML Roadmap'!$E$4:$E$24,"Pending")+COUNTIF('AI + SWE Integration'!$E$4:$E$20,"Pending")</f>
        <v>1</v>
      </c>
      <c r="C6" s="2"/>
      <c r="D6" s="2"/>
      <c r="E6" s="2"/>
      <c r="F6" s="2"/>
    </row>
    <row r="7" spans="1:7">
      <c r="A7" s="21" t="s">
        <v>24</v>
      </c>
      <c r="B7" s="14">
        <f>COUNTIF('SWE Roadmap'!$E$4:$E$20,"Revision")+COUNTIF('AI ML Roadmap'!$E$4:$E$24,"Revision")+COUNTIF('AI + SWE Integration'!$E$4:$E$20,"Revision")</f>
        <v>13</v>
      </c>
      <c r="C7" s="4"/>
      <c r="D7" s="4"/>
      <c r="E7" s="4"/>
      <c r="F7" s="4"/>
    </row>
    <row r="8" spans="1:7">
      <c r="A8" s="2" t="s">
        <v>25</v>
      </c>
      <c r="B8" s="2">
        <f>COUNTIF('SWE Roadmap'!$E$4:$E$20,"Not Started")+COUNTIF('AI ML Roadmap'!$E$4:$E$24,"Not Started")+COUNTIF('AI + SWE Integration'!$E$4:$E$20,"Not Started")</f>
        <v>40</v>
      </c>
      <c r="C8" s="2"/>
      <c r="D8" s="2"/>
      <c r="E8" s="2"/>
      <c r="F8" s="2"/>
    </row>
    <row r="9" spans="1:7">
      <c r="A9" s="21" t="s">
        <v>26</v>
      </c>
      <c r="B9" s="22">
        <f>IFERROR(B5/B4,0)</f>
        <v>0.0181818181818182</v>
      </c>
      <c r="C9" s="4"/>
      <c r="D9" s="4"/>
      <c r="E9" s="4"/>
      <c r="F9" s="4"/>
    </row>
    <row r="10" spans="1:7">
      <c r="A10" s="2"/>
      <c r="B10" s="2"/>
      <c r="C10" s="2"/>
      <c r="D10" s="2"/>
      <c r="E10" s="2"/>
      <c r="F10" s="2"/>
    </row>
    <row r="11" ht="15.6" spans="1:7">
      <c r="A11" s="23" t="s">
        <v>27</v>
      </c>
      <c r="B11" s="4"/>
      <c r="C11" s="4"/>
      <c r="D11" s="4"/>
      <c r="E11" s="4"/>
      <c r="F11" s="4"/>
    </row>
    <row r="12" ht="28" customHeight="1" spans="1:7">
      <c r="A12" s="24" t="s">
        <v>28</v>
      </c>
      <c r="B12" s="25"/>
      <c r="C12" s="25"/>
      <c r="D12" s="25"/>
      <c r="E12" s="25"/>
      <c r="F12" s="25"/>
    </row>
    <row r="13" ht="28" customHeight="1" spans="1:7">
      <c r="A13" s="26" t="s">
        <v>29</v>
      </c>
      <c r="B13" s="25"/>
      <c r="C13" s="25"/>
      <c r="D13" s="25"/>
      <c r="E13" s="25"/>
      <c r="F13" s="25"/>
    </row>
    <row r="14" ht="28" customHeight="1" spans="1:7">
      <c r="A14" s="24" t="s">
        <v>30</v>
      </c>
      <c r="B14" s="25"/>
      <c r="C14" s="25"/>
      <c r="D14" s="25"/>
      <c r="E14" s="25"/>
      <c r="F14" s="25"/>
    </row>
    <row r="15" ht="28" customHeight="1" spans="1:7">
      <c r="A15" s="26" t="s">
        <v>31</v>
      </c>
      <c r="B15" s="25"/>
      <c r="C15" s="25"/>
      <c r="D15" s="25"/>
      <c r="E15" s="25"/>
      <c r="F15" s="25"/>
    </row>
    <row r="16" ht="28" customHeight="1" spans="1:7">
      <c r="A16" s="24" t="s">
        <v>32</v>
      </c>
      <c r="B16" s="25"/>
      <c r="C16" s="25"/>
      <c r="D16" s="25"/>
      <c r="E16" s="25"/>
      <c r="F16" s="25"/>
    </row>
    <row r="17" ht="28" customHeight="1" spans="1:7">
      <c r="A17" s="27"/>
    </row>
    <row r="18" ht="28" customHeight="1" spans="1:7">
      <c r="A18" s="28" t="s">
        <v>33</v>
      </c>
    </row>
    <row r="19" ht="28" customHeight="1" spans="1:7">
      <c r="A19" s="29" t="s">
        <v>34</v>
      </c>
    </row>
    <row r="21" spans="1:7">
      <c r="A21" s="30" t="s">
        <v>35</v>
      </c>
      <c r="B21" s="30"/>
      <c r="C21" s="30"/>
      <c r="D21" s="30"/>
      <c r="E21" s="30"/>
      <c r="F21" s="30"/>
      <c r="G21" s="30"/>
    </row>
    <row r="22" ht="25" customHeight="1" spans="1:7">
      <c r="A22" s="31" t="s">
        <v>36</v>
      </c>
      <c r="B22" s="31" t="s">
        <v>37</v>
      </c>
      <c r="C22" s="31" t="s">
        <v>25</v>
      </c>
      <c r="D22" s="31" t="s">
        <v>23</v>
      </c>
      <c r="E22" s="31" t="s">
        <v>22</v>
      </c>
      <c r="F22" s="31" t="s">
        <v>24</v>
      </c>
      <c r="G22" s="31" t="s">
        <v>26</v>
      </c>
    </row>
    <row r="23" ht="25" customHeight="1" spans="1:7">
      <c r="A23" s="32" t="s">
        <v>10</v>
      </c>
      <c r="B23" s="32">
        <f>COUNTA('SWE Roadmap'!$C$4:$C$20)</f>
        <v>17</v>
      </c>
      <c r="C23" s="32">
        <f>COUNTIF('SWE Roadmap'!$E$4:$E$20,"Not Started")</f>
        <v>10</v>
      </c>
      <c r="D23" s="32">
        <f>COUNTIF('SWE Roadmap'!$E$4:$E$20,"Pending")</f>
        <v>1</v>
      </c>
      <c r="E23" s="32">
        <f>COUNTIF('SWE Roadmap'!$E$4:$E$20,"Done")</f>
        <v>1</v>
      </c>
      <c r="F23" s="32">
        <f>COUNTIF('SWE Roadmap'!$E$4:$E$20,"Revision")</f>
        <v>5</v>
      </c>
      <c r="G23" s="33">
        <f>IFERROR(E23/B23,0)</f>
        <v>0.0588235294117647</v>
      </c>
    </row>
    <row r="24" ht="25" customHeight="1" spans="1:7">
      <c r="A24" s="32" t="s">
        <v>12</v>
      </c>
      <c r="B24" s="32">
        <f>COUNTA('AI ML Roadmap'!$C$4:$C$24)</f>
        <v>21</v>
      </c>
      <c r="C24" s="32">
        <f>COUNTIF('AI ML Roadmap'!$E$4:$E$24,"Not Started")</f>
        <v>13</v>
      </c>
      <c r="D24" s="32">
        <f>COUNTIF('AI ML Roadmap'!$E$4:$E$24,"Pending")</f>
        <v>0</v>
      </c>
      <c r="E24" s="32">
        <f>COUNTIF('AI ML Roadmap'!$E$4:$E$24,"Done")</f>
        <v>0</v>
      </c>
      <c r="F24" s="32">
        <f>COUNTIF('AI ML Roadmap'!$E$4:$E$24,"Revision")</f>
        <v>8</v>
      </c>
      <c r="G24" s="33">
        <f>IFERROR(E24/B24,0)</f>
        <v>0</v>
      </c>
    </row>
    <row r="25" ht="25" customHeight="1" spans="1:7">
      <c r="A25" s="32" t="s">
        <v>14</v>
      </c>
      <c r="B25" s="32">
        <f>COUNTA('AI + SWE Integration'!$C$4:$C$20)</f>
        <v>17</v>
      </c>
      <c r="C25" s="32">
        <f>COUNTIF('AI + SWE Integration'!$E$4:$E$20,"Not Started")</f>
        <v>17</v>
      </c>
      <c r="D25" s="32">
        <f>COUNTIF('AI + SWE Integration'!$E$4:$E$20,"Pending")</f>
        <v>0</v>
      </c>
      <c r="E25" s="32">
        <f>COUNTIF('AI + SWE Integration'!$E$4:$E$20,"Done")</f>
        <v>0</v>
      </c>
      <c r="F25" s="32">
        <f>COUNTIF('AI + SWE Integration'!$E$4:$E$20,"Revision")</f>
        <v>0</v>
      </c>
      <c r="G25" s="33">
        <f>IFERROR(E25/B25,0)</f>
        <v>0</v>
      </c>
    </row>
  </sheetData>
  <mergeCells count="9">
    <mergeCell ref="A1:F1"/>
    <mergeCell ref="A12:F12"/>
    <mergeCell ref="A13:F13"/>
    <mergeCell ref="A14:F14"/>
    <mergeCell ref="A15:F15"/>
    <mergeCell ref="A16:F16"/>
    <mergeCell ref="A18:E18"/>
    <mergeCell ref="A19:E19"/>
    <mergeCell ref="A21:G21"/>
  </mergeCells>
  <conditionalFormatting sqref="B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{b71c1d4f-9332-4fc3-9bb8-457e5833427c}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c1d4f-9332-4fc3-9bb8-457e5833427c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tabSelected="1" workbookViewId="0">
      <pane ySplit="3" topLeftCell="A5" activePane="bottomLeft" state="frozen"/>
      <selection/>
      <selection pane="bottomLeft" activeCell="E11" sqref="E11"/>
    </sheetView>
  </sheetViews>
  <sheetFormatPr defaultColWidth="9" defaultRowHeight="14.4"/>
  <cols>
    <col min="1" max="1" width="18" customWidth="1"/>
    <col min="2" max="2" width="22" customWidth="1"/>
    <col min="3" max="3" width="34" customWidth="1"/>
    <col min="4" max="4" width="20" customWidth="1"/>
    <col min="5" max="5" width="18" customWidth="1"/>
    <col min="6" max="6" width="17" customWidth="1"/>
    <col min="7" max="7" width="62" customWidth="1"/>
    <col min="8" max="8" width="43" customWidth="1"/>
    <col min="9" max="9" width="14" customWidth="1"/>
  </cols>
  <sheetData>
    <row r="1" ht="30" customHeight="1" spans="1:9">
      <c r="A1" s="15" t="s">
        <v>10</v>
      </c>
    </row>
    <row r="2" ht="32" customHeight="1" spans="1:9">
      <c r="A2" s="16" t="s">
        <v>38</v>
      </c>
    </row>
    <row r="3" spans="1:9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</row>
    <row r="4" ht="43" customHeight="1" spans="1:9">
      <c r="A4" s="4" t="s">
        <v>48</v>
      </c>
      <c r="B4" s="4" t="s">
        <v>49</v>
      </c>
      <c r="C4" s="4" t="s">
        <v>50</v>
      </c>
      <c r="D4" s="14" t="s">
        <v>51</v>
      </c>
      <c r="E4" s="9" t="s">
        <v>24</v>
      </c>
      <c r="F4" s="4">
        <v>1</v>
      </c>
      <c r="G4" s="4" t="s">
        <v>52</v>
      </c>
      <c r="H4" s="4" t="s">
        <v>53</v>
      </c>
      <c r="I4" s="8" t="s">
        <v>54</v>
      </c>
    </row>
    <row r="5" ht="43" customHeight="1" spans="1:9">
      <c r="A5" s="4" t="s">
        <v>48</v>
      </c>
      <c r="B5" s="4" t="s">
        <v>55</v>
      </c>
      <c r="C5" s="4" t="s">
        <v>56</v>
      </c>
      <c r="D5" s="14" t="s">
        <v>51</v>
      </c>
      <c r="E5" s="9" t="s">
        <v>24</v>
      </c>
      <c r="F5" s="4">
        <v>1</v>
      </c>
      <c r="G5" s="4" t="s">
        <v>57</v>
      </c>
      <c r="H5" s="4" t="s">
        <v>58</v>
      </c>
      <c r="I5" s="8" t="s">
        <v>59</v>
      </c>
    </row>
    <row r="6" ht="43" customHeight="1" spans="1:9">
      <c r="A6" s="4" t="s">
        <v>48</v>
      </c>
      <c r="B6" s="4" t="s">
        <v>60</v>
      </c>
      <c r="C6" s="4" t="s">
        <v>61</v>
      </c>
      <c r="D6" s="14" t="s">
        <v>51</v>
      </c>
      <c r="E6" s="9" t="s">
        <v>24</v>
      </c>
      <c r="F6" s="4">
        <v>1</v>
      </c>
      <c r="G6" s="4" t="s">
        <v>62</v>
      </c>
      <c r="H6" s="4" t="s">
        <v>63</v>
      </c>
      <c r="I6" s="8" t="s">
        <v>59</v>
      </c>
    </row>
    <row r="7" ht="43" customHeight="1" spans="1:9">
      <c r="A7" s="4" t="s">
        <v>48</v>
      </c>
      <c r="B7" s="4" t="s">
        <v>60</v>
      </c>
      <c r="C7" s="4" t="s">
        <v>64</v>
      </c>
      <c r="D7" s="14" t="s">
        <v>51</v>
      </c>
      <c r="E7" s="9" t="s">
        <v>24</v>
      </c>
      <c r="F7" s="4">
        <v>1</v>
      </c>
      <c r="G7" s="4" t="s">
        <v>65</v>
      </c>
      <c r="H7" s="4" t="s">
        <v>66</v>
      </c>
      <c r="I7" s="8" t="s">
        <v>59</v>
      </c>
    </row>
    <row r="8" ht="43" customHeight="1" spans="1:9">
      <c r="A8" s="4" t="s">
        <v>48</v>
      </c>
      <c r="B8" s="4" t="s">
        <v>60</v>
      </c>
      <c r="C8" s="4" t="s">
        <v>67</v>
      </c>
      <c r="D8" s="14" t="s">
        <v>51</v>
      </c>
      <c r="E8" s="9" t="s">
        <v>24</v>
      </c>
      <c r="F8" s="4">
        <v>1</v>
      </c>
      <c r="G8" s="4" t="s">
        <v>68</v>
      </c>
      <c r="H8" s="4" t="s">
        <v>63</v>
      </c>
      <c r="I8" s="8" t="s">
        <v>59</v>
      </c>
    </row>
    <row r="9" ht="43" customHeight="1" spans="1:9">
      <c r="A9" s="4" t="s">
        <v>48</v>
      </c>
      <c r="B9" s="4" t="s">
        <v>60</v>
      </c>
      <c r="C9" s="4" t="s">
        <v>69</v>
      </c>
      <c r="D9" s="14" t="s">
        <v>51</v>
      </c>
      <c r="E9" s="9" t="s">
        <v>25</v>
      </c>
      <c r="F9" s="4">
        <v>1</v>
      </c>
      <c r="G9" s="4" t="s">
        <v>70</v>
      </c>
      <c r="H9" s="4" t="s">
        <v>71</v>
      </c>
      <c r="I9" s="8" t="s">
        <v>59</v>
      </c>
    </row>
    <row r="10" ht="43" customHeight="1" spans="1:9">
      <c r="A10" s="4" t="s">
        <v>72</v>
      </c>
      <c r="B10" s="4" t="s">
        <v>73</v>
      </c>
      <c r="C10" s="4" t="s">
        <v>74</v>
      </c>
      <c r="D10" s="14" t="s">
        <v>51</v>
      </c>
      <c r="E10" s="9" t="s">
        <v>22</v>
      </c>
      <c r="F10" s="4">
        <v>1</v>
      </c>
      <c r="G10" s="4" t="s">
        <v>75</v>
      </c>
      <c r="H10" s="4" t="s">
        <v>76</v>
      </c>
      <c r="I10" s="8" t="s">
        <v>59</v>
      </c>
    </row>
    <row r="11" ht="43" customHeight="1" spans="1:9">
      <c r="A11" s="4" t="s">
        <v>72</v>
      </c>
      <c r="B11" s="4" t="s">
        <v>73</v>
      </c>
      <c r="C11" s="4" t="s">
        <v>77</v>
      </c>
      <c r="D11" s="13" t="s">
        <v>78</v>
      </c>
      <c r="E11" s="9" t="s">
        <v>23</v>
      </c>
      <c r="F11" s="4">
        <v>1</v>
      </c>
      <c r="G11" s="4" t="s">
        <v>79</v>
      </c>
      <c r="H11" s="4" t="s">
        <v>80</v>
      </c>
      <c r="I11" s="8" t="s">
        <v>59</v>
      </c>
    </row>
    <row r="12" ht="43" customHeight="1" spans="1:9">
      <c r="A12" s="4" t="s">
        <v>72</v>
      </c>
      <c r="B12" s="4" t="s">
        <v>81</v>
      </c>
      <c r="C12" s="4" t="s">
        <v>82</v>
      </c>
      <c r="D12" s="13" t="s">
        <v>78</v>
      </c>
      <c r="E12" s="9" t="s">
        <v>25</v>
      </c>
      <c r="F12" s="4">
        <v>1</v>
      </c>
      <c r="G12" s="4" t="s">
        <v>83</v>
      </c>
      <c r="H12" s="4" t="s">
        <v>84</v>
      </c>
      <c r="I12" s="8" t="s">
        <v>59</v>
      </c>
    </row>
    <row r="13" ht="43" customHeight="1" spans="1:9">
      <c r="A13" s="4" t="s">
        <v>72</v>
      </c>
      <c r="B13" s="4" t="s">
        <v>81</v>
      </c>
      <c r="C13" s="4" t="s">
        <v>85</v>
      </c>
      <c r="D13" s="13" t="s">
        <v>86</v>
      </c>
      <c r="E13" s="9" t="s">
        <v>25</v>
      </c>
      <c r="F13" s="4">
        <v>1</v>
      </c>
      <c r="G13" s="4" t="s">
        <v>87</v>
      </c>
      <c r="H13" s="4" t="s">
        <v>88</v>
      </c>
      <c r="I13" s="8" t="s">
        <v>59</v>
      </c>
    </row>
    <row r="14" ht="43" customHeight="1" spans="1:9">
      <c r="A14" s="4" t="s">
        <v>72</v>
      </c>
      <c r="B14" s="4" t="s">
        <v>89</v>
      </c>
      <c r="C14" s="4" t="s">
        <v>90</v>
      </c>
      <c r="D14" s="13" t="s">
        <v>78</v>
      </c>
      <c r="E14" s="9" t="s">
        <v>25</v>
      </c>
      <c r="F14" s="4">
        <v>1</v>
      </c>
      <c r="G14" s="4" t="s">
        <v>91</v>
      </c>
      <c r="H14" s="4" t="s">
        <v>92</v>
      </c>
      <c r="I14" s="8" t="s">
        <v>59</v>
      </c>
    </row>
    <row r="15" ht="43" customHeight="1" spans="1:9">
      <c r="A15" s="4" t="s">
        <v>72</v>
      </c>
      <c r="B15" s="4" t="s">
        <v>93</v>
      </c>
      <c r="C15" s="4" t="s">
        <v>94</v>
      </c>
      <c r="D15" s="14" t="s">
        <v>51</v>
      </c>
      <c r="E15" s="9" t="s">
        <v>25</v>
      </c>
      <c r="F15" s="4">
        <v>1</v>
      </c>
      <c r="G15" s="4" t="s">
        <v>95</v>
      </c>
      <c r="H15" s="4" t="s">
        <v>96</v>
      </c>
      <c r="I15" s="8" t="s">
        <v>59</v>
      </c>
    </row>
    <row r="16" ht="43" customHeight="1" spans="1:9">
      <c r="A16" s="4" t="s">
        <v>72</v>
      </c>
      <c r="B16" s="4" t="s">
        <v>97</v>
      </c>
      <c r="C16" s="4" t="s">
        <v>98</v>
      </c>
      <c r="D16" s="13" t="s">
        <v>78</v>
      </c>
      <c r="E16" s="9" t="s">
        <v>25</v>
      </c>
      <c r="F16" s="4">
        <v>1</v>
      </c>
      <c r="G16" s="4" t="s">
        <v>99</v>
      </c>
      <c r="H16" s="4" t="s">
        <v>100</v>
      </c>
      <c r="I16" s="8" t="s">
        <v>59</v>
      </c>
    </row>
    <row r="17" ht="43" customHeight="1" spans="1:9">
      <c r="A17" s="4" t="s">
        <v>101</v>
      </c>
      <c r="B17" s="4" t="s">
        <v>102</v>
      </c>
      <c r="C17" s="4" t="s">
        <v>103</v>
      </c>
      <c r="D17" s="13" t="s">
        <v>86</v>
      </c>
      <c r="E17" s="9" t="s">
        <v>25</v>
      </c>
      <c r="F17" s="4">
        <v>1</v>
      </c>
      <c r="G17" s="4" t="s">
        <v>104</v>
      </c>
      <c r="H17" s="4" t="s">
        <v>105</v>
      </c>
      <c r="I17" s="8" t="s">
        <v>59</v>
      </c>
    </row>
    <row r="18" ht="43" customHeight="1" spans="1:9">
      <c r="A18" s="4" t="s">
        <v>101</v>
      </c>
      <c r="B18" s="4" t="s">
        <v>106</v>
      </c>
      <c r="C18" s="4" t="s">
        <v>107</v>
      </c>
      <c r="D18" s="13" t="s">
        <v>86</v>
      </c>
      <c r="E18" s="9" t="s">
        <v>25</v>
      </c>
      <c r="F18" s="4">
        <v>1</v>
      </c>
      <c r="G18" s="4" t="s">
        <v>108</v>
      </c>
      <c r="H18" s="4" t="s">
        <v>63</v>
      </c>
      <c r="I18" s="8" t="s">
        <v>59</v>
      </c>
    </row>
    <row r="19" ht="43" customHeight="1" spans="1:9">
      <c r="A19" s="4" t="s">
        <v>101</v>
      </c>
      <c r="B19" s="4" t="s">
        <v>109</v>
      </c>
      <c r="C19" s="4" t="s">
        <v>110</v>
      </c>
      <c r="D19" s="14" t="s">
        <v>51</v>
      </c>
      <c r="E19" s="9" t="s">
        <v>25</v>
      </c>
      <c r="F19" s="4">
        <v>1</v>
      </c>
      <c r="G19" s="4" t="s">
        <v>111</v>
      </c>
      <c r="H19" s="4" t="s">
        <v>112</v>
      </c>
      <c r="I19" s="8" t="s">
        <v>59</v>
      </c>
    </row>
    <row r="20" ht="43" customHeight="1" spans="1:9">
      <c r="A20" s="4" t="s">
        <v>101</v>
      </c>
      <c r="B20" s="4" t="s">
        <v>113</v>
      </c>
      <c r="C20" s="4" t="s">
        <v>114</v>
      </c>
      <c r="D20" s="14" t="s">
        <v>51</v>
      </c>
      <c r="E20" s="9" t="s">
        <v>25</v>
      </c>
      <c r="F20" s="4">
        <v>1</v>
      </c>
      <c r="G20" s="4" t="s">
        <v>115</v>
      </c>
      <c r="H20" s="4" t="s">
        <v>63</v>
      </c>
      <c r="I20" s="8" t="s">
        <v>59</v>
      </c>
    </row>
  </sheetData>
  <mergeCells count="2">
    <mergeCell ref="A1:H1"/>
    <mergeCell ref="A2:H2"/>
  </mergeCells>
  <conditionalFormatting sqref="E4:E20">
    <cfRule type="expression" dxfId="0" priority="3">
      <formula>E4="Done"</formula>
    </cfRule>
    <cfRule type="expression" dxfId="1" priority="4">
      <formula>E4="Pending"</formula>
    </cfRule>
    <cfRule type="expression" dxfId="2" priority="5">
      <formula>E4="Revision"</formula>
    </cfRule>
    <cfRule type="expression" dxfId="3" priority="6">
      <formula>E4="Not Started"</formula>
    </cfRule>
  </conditionalFormatting>
  <conditionalFormatting sqref="I4:I20">
    <cfRule type="expression" dxfId="4" priority="1">
      <formula>I4="☑"</formula>
    </cfRule>
    <cfRule type="expression" dxfId="5" priority="2">
      <formula>I4="☐"</formula>
    </cfRule>
  </conditionalFormatting>
  <dataValidations count="2">
    <dataValidation type="list" sqref="E4:E20">
      <formula1>"Not Started,Pending,Done,Revision"</formula1>
    </dataValidation>
    <dataValidation type="list" allowBlank="1" errorTitle="Select progress" error="Choose ☐ or ☑ from the dropdown." promptTitle="Progress checkbox" prompt="Choose ☑ when this item is complete." sqref="I4:I20">
      <formula1>"☐,☑"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showGridLines="0" workbookViewId="0">
      <pane ySplit="3" topLeftCell="A18" activePane="bottomLeft" state="frozen"/>
      <selection/>
      <selection pane="bottomLeft" activeCell="E13" sqref="E13"/>
    </sheetView>
  </sheetViews>
  <sheetFormatPr defaultColWidth="9" defaultRowHeight="14.4"/>
  <cols>
    <col min="1" max="1" width="18" customWidth="1"/>
    <col min="2" max="2" width="22" customWidth="1"/>
    <col min="3" max="3" width="36" customWidth="1"/>
    <col min="4" max="4" width="24" customWidth="1"/>
    <col min="5" max="5" width="18" customWidth="1"/>
    <col min="6" max="6" width="17" customWidth="1"/>
    <col min="7" max="7" width="62" customWidth="1"/>
    <col min="8" max="8" width="43" customWidth="1"/>
    <col min="9" max="9" width="14" customWidth="1"/>
  </cols>
  <sheetData>
    <row r="1" ht="30" customHeight="1" spans="1:9">
      <c r="A1" s="15" t="s">
        <v>12</v>
      </c>
    </row>
    <row r="2" ht="32" customHeight="1" spans="1:9">
      <c r="A2" s="16" t="s">
        <v>116</v>
      </c>
    </row>
    <row r="3" spans="1:9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</row>
    <row r="4" ht="43" customHeight="1" spans="1:9">
      <c r="A4" s="4" t="s">
        <v>117</v>
      </c>
      <c r="B4" s="4" t="s">
        <v>118</v>
      </c>
      <c r="C4" s="4" t="s">
        <v>119</v>
      </c>
      <c r="D4" s="14" t="s">
        <v>51</v>
      </c>
      <c r="E4" s="9" t="s">
        <v>24</v>
      </c>
      <c r="F4" s="4">
        <v>1</v>
      </c>
      <c r="G4" s="4" t="s">
        <v>120</v>
      </c>
      <c r="H4" s="4" t="s">
        <v>121</v>
      </c>
      <c r="I4" s="8" t="s">
        <v>59</v>
      </c>
    </row>
    <row r="5" ht="43" customHeight="1" spans="1:9">
      <c r="A5" s="4" t="s">
        <v>117</v>
      </c>
      <c r="B5" s="4" t="s">
        <v>122</v>
      </c>
      <c r="C5" s="4" t="s">
        <v>123</v>
      </c>
      <c r="D5" s="14" t="s">
        <v>51</v>
      </c>
      <c r="E5" s="9" t="s">
        <v>24</v>
      </c>
      <c r="F5" s="4">
        <v>1</v>
      </c>
      <c r="G5" s="4" t="s">
        <v>124</v>
      </c>
      <c r="H5" s="4" t="s">
        <v>125</v>
      </c>
      <c r="I5" s="8" t="s">
        <v>59</v>
      </c>
    </row>
    <row r="6" ht="43" customHeight="1" spans="1:9">
      <c r="A6" s="4" t="s">
        <v>117</v>
      </c>
      <c r="B6" s="4" t="s">
        <v>122</v>
      </c>
      <c r="C6" s="4" t="s">
        <v>126</v>
      </c>
      <c r="D6" s="14" t="s">
        <v>51</v>
      </c>
      <c r="E6" s="9" t="s">
        <v>25</v>
      </c>
      <c r="F6" s="4">
        <v>1</v>
      </c>
      <c r="G6" s="4" t="s">
        <v>127</v>
      </c>
      <c r="H6" s="4" t="s">
        <v>128</v>
      </c>
      <c r="I6" s="8" t="s">
        <v>59</v>
      </c>
    </row>
    <row r="7" ht="43" customHeight="1" spans="1:9">
      <c r="A7" s="4" t="s">
        <v>117</v>
      </c>
      <c r="B7" s="4" t="s">
        <v>89</v>
      </c>
      <c r="C7" s="4" t="s">
        <v>129</v>
      </c>
      <c r="D7" s="14" t="s">
        <v>51</v>
      </c>
      <c r="E7" s="9" t="s">
        <v>24</v>
      </c>
      <c r="F7" s="4">
        <v>1</v>
      </c>
      <c r="G7" s="4" t="s">
        <v>130</v>
      </c>
      <c r="H7" s="4" t="s">
        <v>131</v>
      </c>
      <c r="I7" s="8" t="s">
        <v>59</v>
      </c>
    </row>
    <row r="8" ht="43" customHeight="1" spans="1:9">
      <c r="A8" s="4" t="s">
        <v>117</v>
      </c>
      <c r="B8" s="4" t="s">
        <v>89</v>
      </c>
      <c r="C8" s="4" t="s">
        <v>132</v>
      </c>
      <c r="D8" s="13" t="s">
        <v>78</v>
      </c>
      <c r="E8" s="9" t="s">
        <v>24</v>
      </c>
      <c r="F8" s="4">
        <v>1</v>
      </c>
      <c r="G8" s="4" t="s">
        <v>133</v>
      </c>
      <c r="H8" s="4" t="s">
        <v>66</v>
      </c>
      <c r="I8" s="8" t="s">
        <v>59</v>
      </c>
    </row>
    <row r="9" ht="43" customHeight="1" spans="1:9">
      <c r="A9" s="4" t="s">
        <v>134</v>
      </c>
      <c r="B9" s="4" t="s">
        <v>135</v>
      </c>
      <c r="C9" s="4" t="s">
        <v>136</v>
      </c>
      <c r="D9" s="14" t="s">
        <v>51</v>
      </c>
      <c r="E9" s="9" t="s">
        <v>24</v>
      </c>
      <c r="F9" s="4">
        <v>1</v>
      </c>
      <c r="G9" s="4" t="s">
        <v>137</v>
      </c>
      <c r="H9" s="4" t="s">
        <v>138</v>
      </c>
      <c r="I9" s="8" t="s">
        <v>59</v>
      </c>
    </row>
    <row r="10" ht="43" customHeight="1" spans="1:9">
      <c r="A10" s="4" t="s">
        <v>134</v>
      </c>
      <c r="B10" s="4" t="s">
        <v>135</v>
      </c>
      <c r="C10" s="4" t="s">
        <v>139</v>
      </c>
      <c r="D10" s="13" t="s">
        <v>78</v>
      </c>
      <c r="E10" s="9" t="s">
        <v>24</v>
      </c>
      <c r="F10" s="4">
        <v>1</v>
      </c>
      <c r="G10" s="4" t="s">
        <v>140</v>
      </c>
      <c r="H10" s="4" t="s">
        <v>63</v>
      </c>
      <c r="I10" s="8" t="s">
        <v>59</v>
      </c>
    </row>
    <row r="11" ht="43" customHeight="1" spans="1:9">
      <c r="A11" s="4" t="s">
        <v>134</v>
      </c>
      <c r="B11" s="4" t="s">
        <v>141</v>
      </c>
      <c r="C11" s="4" t="s">
        <v>142</v>
      </c>
      <c r="D11" s="14" t="s">
        <v>51</v>
      </c>
      <c r="E11" s="9" t="s">
        <v>24</v>
      </c>
      <c r="F11" s="4">
        <v>1</v>
      </c>
      <c r="G11" s="4" t="s">
        <v>143</v>
      </c>
      <c r="H11" s="4" t="s">
        <v>63</v>
      </c>
      <c r="I11" s="8" t="s">
        <v>59</v>
      </c>
    </row>
    <row r="12" ht="43" customHeight="1" spans="1:9">
      <c r="A12" s="4" t="s">
        <v>134</v>
      </c>
      <c r="B12" s="4" t="s">
        <v>141</v>
      </c>
      <c r="C12" s="4" t="s">
        <v>144</v>
      </c>
      <c r="D12" s="14" t="s">
        <v>51</v>
      </c>
      <c r="E12" s="9" t="s">
        <v>24</v>
      </c>
      <c r="F12" s="4">
        <v>1</v>
      </c>
      <c r="G12" s="4" t="s">
        <v>145</v>
      </c>
      <c r="H12" s="4" t="s">
        <v>63</v>
      </c>
      <c r="I12" s="8" t="s">
        <v>59</v>
      </c>
    </row>
    <row r="13" ht="43" customHeight="1" spans="1:9">
      <c r="A13" s="4" t="s">
        <v>134</v>
      </c>
      <c r="B13" s="4" t="s">
        <v>141</v>
      </c>
      <c r="C13" s="4" t="s">
        <v>146</v>
      </c>
      <c r="D13" s="14" t="s">
        <v>51</v>
      </c>
      <c r="E13" s="9" t="s">
        <v>25</v>
      </c>
      <c r="F13" s="4">
        <v>1</v>
      </c>
      <c r="G13" s="4" t="s">
        <v>147</v>
      </c>
      <c r="H13" s="4" t="s">
        <v>63</v>
      </c>
      <c r="I13" s="8" t="s">
        <v>59</v>
      </c>
    </row>
    <row r="14" ht="43" customHeight="1" spans="1:9">
      <c r="A14" s="4" t="s">
        <v>148</v>
      </c>
      <c r="B14" s="4" t="s">
        <v>149</v>
      </c>
      <c r="C14" s="4" t="s">
        <v>150</v>
      </c>
      <c r="D14" s="13" t="s">
        <v>151</v>
      </c>
      <c r="E14" s="9" t="s">
        <v>25</v>
      </c>
      <c r="F14" s="4">
        <v>1</v>
      </c>
      <c r="G14" s="4" t="s">
        <v>152</v>
      </c>
      <c r="H14" s="4" t="s">
        <v>63</v>
      </c>
      <c r="I14" s="8" t="s">
        <v>59</v>
      </c>
    </row>
    <row r="15" ht="43" customHeight="1" spans="1:9">
      <c r="A15" s="4" t="s">
        <v>148</v>
      </c>
      <c r="B15" s="4" t="s">
        <v>149</v>
      </c>
      <c r="C15" s="4" t="s">
        <v>153</v>
      </c>
      <c r="D15" s="13" t="s">
        <v>154</v>
      </c>
      <c r="E15" s="9" t="s">
        <v>25</v>
      </c>
      <c r="F15" s="4">
        <v>1</v>
      </c>
      <c r="G15" s="4" t="s">
        <v>155</v>
      </c>
      <c r="H15" s="4" t="s">
        <v>156</v>
      </c>
      <c r="I15" s="8" t="s">
        <v>59</v>
      </c>
    </row>
    <row r="16" ht="43" customHeight="1" spans="1:9">
      <c r="A16" s="4" t="s">
        <v>148</v>
      </c>
      <c r="B16" s="4" t="s">
        <v>157</v>
      </c>
      <c r="C16" s="4" t="s">
        <v>158</v>
      </c>
      <c r="D16" s="13" t="s">
        <v>159</v>
      </c>
      <c r="E16" s="9" t="s">
        <v>25</v>
      </c>
      <c r="F16" s="4">
        <v>1</v>
      </c>
      <c r="G16" s="4" t="s">
        <v>160</v>
      </c>
      <c r="H16" s="4" t="s">
        <v>161</v>
      </c>
      <c r="I16" s="8" t="s">
        <v>59</v>
      </c>
    </row>
    <row r="17" ht="43" customHeight="1" spans="1:9">
      <c r="A17" s="4" t="s">
        <v>148</v>
      </c>
      <c r="B17" s="4" t="s">
        <v>162</v>
      </c>
      <c r="C17" s="4" t="s">
        <v>163</v>
      </c>
      <c r="D17" s="13" t="s">
        <v>159</v>
      </c>
      <c r="E17" s="9" t="s">
        <v>25</v>
      </c>
      <c r="F17" s="4">
        <v>1</v>
      </c>
      <c r="G17" s="4" t="s">
        <v>164</v>
      </c>
      <c r="H17" s="4" t="s">
        <v>63</v>
      </c>
      <c r="I17" s="8" t="s">
        <v>59</v>
      </c>
    </row>
    <row r="18" ht="43" customHeight="1" spans="1:9">
      <c r="A18" s="4" t="s">
        <v>148</v>
      </c>
      <c r="B18" s="4" t="s">
        <v>162</v>
      </c>
      <c r="C18" s="4" t="s">
        <v>165</v>
      </c>
      <c r="D18" s="13" t="s">
        <v>159</v>
      </c>
      <c r="E18" s="9" t="s">
        <v>25</v>
      </c>
      <c r="F18" s="4">
        <v>1</v>
      </c>
      <c r="G18" s="4" t="s">
        <v>166</v>
      </c>
      <c r="H18" s="4" t="s">
        <v>63</v>
      </c>
      <c r="I18" s="8" t="s">
        <v>59</v>
      </c>
    </row>
    <row r="19" ht="43" customHeight="1" spans="1:9">
      <c r="A19" s="4" t="s">
        <v>148</v>
      </c>
      <c r="B19" s="4" t="s">
        <v>162</v>
      </c>
      <c r="C19" s="4" t="s">
        <v>167</v>
      </c>
      <c r="D19" s="13" t="s">
        <v>159</v>
      </c>
      <c r="E19" s="9" t="s">
        <v>25</v>
      </c>
      <c r="F19" s="4">
        <v>1</v>
      </c>
      <c r="G19" s="4" t="s">
        <v>168</v>
      </c>
      <c r="H19" s="4" t="s">
        <v>63</v>
      </c>
      <c r="I19" s="8" t="s">
        <v>59</v>
      </c>
    </row>
    <row r="20" ht="43" customHeight="1" spans="1:9">
      <c r="A20" s="4" t="s">
        <v>148</v>
      </c>
      <c r="B20" s="4" t="s">
        <v>169</v>
      </c>
      <c r="C20" s="4" t="s">
        <v>170</v>
      </c>
      <c r="D20" s="4" t="s">
        <v>171</v>
      </c>
      <c r="E20" s="9" t="s">
        <v>25</v>
      </c>
      <c r="F20" s="4">
        <v>1</v>
      </c>
      <c r="G20" s="4" t="s">
        <v>172</v>
      </c>
      <c r="H20" s="4" t="s">
        <v>63</v>
      </c>
      <c r="I20" s="8" t="s">
        <v>59</v>
      </c>
    </row>
    <row r="21" ht="43" customHeight="1" spans="1:9">
      <c r="A21" s="4" t="s">
        <v>173</v>
      </c>
      <c r="B21" s="4" t="s">
        <v>174</v>
      </c>
      <c r="C21" s="4" t="s">
        <v>175</v>
      </c>
      <c r="D21" s="13" t="s">
        <v>78</v>
      </c>
      <c r="E21" s="9" t="s">
        <v>25</v>
      </c>
      <c r="F21" s="4">
        <v>1</v>
      </c>
      <c r="G21" s="4" t="s">
        <v>176</v>
      </c>
      <c r="H21" s="4" t="s">
        <v>177</v>
      </c>
      <c r="I21" s="8" t="s">
        <v>59</v>
      </c>
    </row>
    <row r="22" ht="43" customHeight="1" spans="1:9">
      <c r="A22" s="4" t="s">
        <v>173</v>
      </c>
      <c r="B22" s="4" t="s">
        <v>178</v>
      </c>
      <c r="C22" s="4" t="s">
        <v>179</v>
      </c>
      <c r="D22" s="13" t="s">
        <v>86</v>
      </c>
      <c r="E22" s="9" t="s">
        <v>25</v>
      </c>
      <c r="F22" s="4">
        <v>1</v>
      </c>
      <c r="G22" s="4" t="s">
        <v>180</v>
      </c>
      <c r="H22" s="4" t="s">
        <v>105</v>
      </c>
      <c r="I22" s="8" t="s">
        <v>59</v>
      </c>
    </row>
    <row r="23" ht="43" customHeight="1" spans="1:9">
      <c r="A23" s="4" t="s">
        <v>173</v>
      </c>
      <c r="B23" s="4" t="s">
        <v>109</v>
      </c>
      <c r="C23" s="4" t="s">
        <v>181</v>
      </c>
      <c r="D23" s="14" t="s">
        <v>51</v>
      </c>
      <c r="E23" s="9" t="s">
        <v>25</v>
      </c>
      <c r="F23" s="4">
        <v>1</v>
      </c>
      <c r="G23" s="4" t="s">
        <v>182</v>
      </c>
      <c r="H23" s="4" t="s">
        <v>63</v>
      </c>
      <c r="I23" s="8" t="s">
        <v>59</v>
      </c>
    </row>
    <row r="24" ht="43" customHeight="1" spans="1:9">
      <c r="A24" s="4" t="s">
        <v>173</v>
      </c>
      <c r="B24" s="4" t="s">
        <v>109</v>
      </c>
      <c r="C24" s="4" t="s">
        <v>183</v>
      </c>
      <c r="D24" s="14" t="s">
        <v>51</v>
      </c>
      <c r="E24" s="9" t="s">
        <v>25</v>
      </c>
      <c r="F24" s="4">
        <v>1</v>
      </c>
      <c r="G24" s="4" t="s">
        <v>184</v>
      </c>
      <c r="H24" s="4" t="s">
        <v>63</v>
      </c>
      <c r="I24" s="8" t="s">
        <v>59</v>
      </c>
    </row>
  </sheetData>
  <mergeCells count="2">
    <mergeCell ref="A1:H1"/>
    <mergeCell ref="A2:H2"/>
  </mergeCells>
  <conditionalFormatting sqref="E4:E24">
    <cfRule type="expression" dxfId="0" priority="3">
      <formula>E4="Done"</formula>
    </cfRule>
    <cfRule type="expression" dxfId="1" priority="4">
      <formula>E4="Pending"</formula>
    </cfRule>
    <cfRule type="expression" dxfId="2" priority="5">
      <formula>E4="Revision"</formula>
    </cfRule>
    <cfRule type="expression" dxfId="3" priority="6">
      <formula>E4="Not Started"</formula>
    </cfRule>
  </conditionalFormatting>
  <conditionalFormatting sqref="I4:I24">
    <cfRule type="expression" dxfId="4" priority="1">
      <formula>I4="☑"</formula>
    </cfRule>
    <cfRule type="expression" dxfId="5" priority="2">
      <formula>I4="☐"</formula>
    </cfRule>
  </conditionalFormatting>
  <dataValidations count="2">
    <dataValidation type="list" sqref="E4:E24">
      <formula1>"Not Started,Pending,Done,Revision"</formula1>
    </dataValidation>
    <dataValidation type="list" allowBlank="1" errorTitle="Select progress" error="Choose ☐ or ☑ from the dropdown." promptTitle="Progress checkbox" prompt="Choose ☑ when this item is complete." sqref="I4:I24">
      <formula1>"☐,☑"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/>
  <cols>
    <col min="1" max="1" width="18" customWidth="1"/>
    <col min="2" max="2" width="22" customWidth="1"/>
    <col min="3" max="3" width="38" customWidth="1"/>
    <col min="4" max="4" width="20" customWidth="1"/>
    <col min="5" max="5" width="18" customWidth="1"/>
    <col min="6" max="6" width="17" customWidth="1"/>
    <col min="7" max="7" width="62" customWidth="1"/>
    <col min="8" max="8" width="43" customWidth="1"/>
    <col min="9" max="9" width="14" customWidth="1"/>
  </cols>
  <sheetData>
    <row r="1" ht="30" customHeight="1" spans="1:9">
      <c r="A1" s="15" t="s">
        <v>14</v>
      </c>
    </row>
    <row r="2" ht="32" customHeight="1" spans="1:9">
      <c r="A2" s="16" t="s">
        <v>185</v>
      </c>
    </row>
    <row r="3" spans="1:9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</row>
    <row r="4" ht="43" customHeight="1" spans="1:9">
      <c r="A4" s="4" t="s">
        <v>186</v>
      </c>
      <c r="B4" s="4" t="s">
        <v>187</v>
      </c>
      <c r="C4" s="4" t="s">
        <v>188</v>
      </c>
      <c r="D4" s="14" t="s">
        <v>51</v>
      </c>
      <c r="E4" s="9" t="s">
        <v>25</v>
      </c>
      <c r="F4" s="4">
        <v>1</v>
      </c>
      <c r="G4" s="4" t="s">
        <v>189</v>
      </c>
      <c r="H4" s="4" t="s">
        <v>190</v>
      </c>
      <c r="I4" s="8" t="s">
        <v>59</v>
      </c>
    </row>
    <row r="5" ht="43" customHeight="1" spans="1:9">
      <c r="A5" s="4" t="s">
        <v>191</v>
      </c>
      <c r="B5" s="4" t="s">
        <v>73</v>
      </c>
      <c r="C5" s="4" t="s">
        <v>192</v>
      </c>
      <c r="D5" s="14" t="s">
        <v>51</v>
      </c>
      <c r="E5" s="9" t="s">
        <v>25</v>
      </c>
      <c r="F5" s="4">
        <v>1</v>
      </c>
      <c r="G5" s="4" t="s">
        <v>193</v>
      </c>
      <c r="H5" s="4" t="s">
        <v>80</v>
      </c>
      <c r="I5" s="8" t="s">
        <v>59</v>
      </c>
    </row>
    <row r="6" ht="43" customHeight="1" spans="1:9">
      <c r="A6" s="4" t="s">
        <v>191</v>
      </c>
      <c r="B6" s="4" t="s">
        <v>81</v>
      </c>
      <c r="C6" s="4" t="s">
        <v>194</v>
      </c>
      <c r="D6" s="14" t="s">
        <v>51</v>
      </c>
      <c r="E6" s="9" t="s">
        <v>25</v>
      </c>
      <c r="F6" s="4">
        <v>1</v>
      </c>
      <c r="G6" s="4" t="s">
        <v>195</v>
      </c>
      <c r="H6" s="4" t="s">
        <v>63</v>
      </c>
      <c r="I6" s="8" t="s">
        <v>59</v>
      </c>
    </row>
    <row r="7" ht="43" customHeight="1" spans="1:9">
      <c r="A7" s="4" t="s">
        <v>191</v>
      </c>
      <c r="B7" s="4" t="s">
        <v>196</v>
      </c>
      <c r="C7" s="4" t="s">
        <v>197</v>
      </c>
      <c r="D7" s="14" t="s">
        <v>51</v>
      </c>
      <c r="E7" s="9" t="s">
        <v>25</v>
      </c>
      <c r="F7" s="4">
        <v>1</v>
      </c>
      <c r="G7" s="4" t="s">
        <v>198</v>
      </c>
      <c r="H7" s="4" t="s">
        <v>63</v>
      </c>
      <c r="I7" s="8" t="s">
        <v>59</v>
      </c>
    </row>
    <row r="8" ht="43" customHeight="1" spans="1:9">
      <c r="A8" s="4" t="s">
        <v>199</v>
      </c>
      <c r="B8" s="4" t="s">
        <v>200</v>
      </c>
      <c r="C8" s="4" t="s">
        <v>201</v>
      </c>
      <c r="D8" s="14" t="s">
        <v>51</v>
      </c>
      <c r="E8" s="9" t="s">
        <v>25</v>
      </c>
      <c r="F8" s="4">
        <v>1</v>
      </c>
      <c r="G8" s="4" t="s">
        <v>202</v>
      </c>
      <c r="H8" s="4" t="s">
        <v>63</v>
      </c>
      <c r="I8" s="8" t="s">
        <v>59</v>
      </c>
    </row>
    <row r="9" ht="43" customHeight="1" spans="1:9">
      <c r="A9" s="4" t="s">
        <v>199</v>
      </c>
      <c r="B9" s="4" t="s">
        <v>203</v>
      </c>
      <c r="C9" s="4" t="s">
        <v>204</v>
      </c>
      <c r="D9" s="14" t="s">
        <v>51</v>
      </c>
      <c r="E9" s="9" t="s">
        <v>25</v>
      </c>
      <c r="F9" s="4">
        <v>1</v>
      </c>
      <c r="G9" s="4" t="s">
        <v>205</v>
      </c>
      <c r="H9" s="4" t="s">
        <v>177</v>
      </c>
      <c r="I9" s="8" t="s">
        <v>59</v>
      </c>
    </row>
    <row r="10" ht="43" customHeight="1" spans="1:9">
      <c r="A10" s="4" t="s">
        <v>199</v>
      </c>
      <c r="B10" s="4" t="s">
        <v>206</v>
      </c>
      <c r="C10" s="4" t="s">
        <v>207</v>
      </c>
      <c r="D10" s="13" t="s">
        <v>151</v>
      </c>
      <c r="E10" s="9" t="s">
        <v>25</v>
      </c>
      <c r="F10" s="4">
        <v>1</v>
      </c>
      <c r="G10" s="4" t="s">
        <v>208</v>
      </c>
      <c r="H10" s="4" t="s">
        <v>209</v>
      </c>
      <c r="I10" s="8" t="s">
        <v>59</v>
      </c>
    </row>
    <row r="11" ht="43" customHeight="1" spans="1:9">
      <c r="A11" s="4" t="s">
        <v>210</v>
      </c>
      <c r="B11" s="4" t="s">
        <v>211</v>
      </c>
      <c r="C11" s="4" t="s">
        <v>212</v>
      </c>
      <c r="D11" s="14" t="s">
        <v>51</v>
      </c>
      <c r="E11" s="9" t="s">
        <v>25</v>
      </c>
      <c r="F11" s="4">
        <v>1</v>
      </c>
      <c r="G11" s="4" t="s">
        <v>213</v>
      </c>
      <c r="H11" s="4" t="s">
        <v>63</v>
      </c>
      <c r="I11" s="8" t="s">
        <v>59</v>
      </c>
    </row>
    <row r="12" ht="43" customHeight="1" spans="1:9">
      <c r="A12" s="4" t="s">
        <v>210</v>
      </c>
      <c r="B12" s="4" t="s">
        <v>214</v>
      </c>
      <c r="C12" s="4" t="s">
        <v>215</v>
      </c>
      <c r="D12" s="14" t="s">
        <v>51</v>
      </c>
      <c r="E12" s="9" t="s">
        <v>25</v>
      </c>
      <c r="F12" s="4">
        <v>1</v>
      </c>
      <c r="G12" s="4" t="s">
        <v>216</v>
      </c>
      <c r="H12" s="4" t="s">
        <v>63</v>
      </c>
      <c r="I12" s="8" t="s">
        <v>59</v>
      </c>
    </row>
    <row r="13" ht="43" customHeight="1" spans="1:9">
      <c r="A13" s="4" t="s">
        <v>210</v>
      </c>
      <c r="B13" s="4" t="s">
        <v>217</v>
      </c>
      <c r="C13" s="4" t="s">
        <v>218</v>
      </c>
      <c r="D13" s="14" t="s">
        <v>51</v>
      </c>
      <c r="E13" s="9" t="s">
        <v>25</v>
      </c>
      <c r="F13" s="4">
        <v>1</v>
      </c>
      <c r="G13" s="4" t="s">
        <v>219</v>
      </c>
      <c r="H13" s="4" t="s">
        <v>63</v>
      </c>
      <c r="I13" s="8" t="s">
        <v>59</v>
      </c>
    </row>
    <row r="14" ht="43" customHeight="1" spans="1:9">
      <c r="A14" s="4" t="s">
        <v>220</v>
      </c>
      <c r="B14" s="4" t="s">
        <v>221</v>
      </c>
      <c r="C14" s="4" t="s">
        <v>222</v>
      </c>
      <c r="D14" s="14" t="s">
        <v>51</v>
      </c>
      <c r="E14" s="9" t="s">
        <v>25</v>
      </c>
      <c r="F14" s="4">
        <v>1</v>
      </c>
      <c r="G14" s="4" t="s">
        <v>223</v>
      </c>
      <c r="H14" s="4" t="s">
        <v>63</v>
      </c>
      <c r="I14" s="8" t="s">
        <v>59</v>
      </c>
    </row>
    <row r="15" ht="43" customHeight="1" spans="1:9">
      <c r="A15" s="4" t="s">
        <v>220</v>
      </c>
      <c r="B15" s="4" t="s">
        <v>224</v>
      </c>
      <c r="C15" s="4" t="s">
        <v>225</v>
      </c>
      <c r="D15" s="14" t="s">
        <v>51</v>
      </c>
      <c r="E15" s="9" t="s">
        <v>25</v>
      </c>
      <c r="F15" s="4">
        <v>1</v>
      </c>
      <c r="G15" s="4" t="s">
        <v>226</v>
      </c>
      <c r="H15" s="4" t="s">
        <v>63</v>
      </c>
      <c r="I15" s="8" t="s">
        <v>59</v>
      </c>
    </row>
    <row r="16" ht="43" customHeight="1" spans="1:9">
      <c r="A16" s="4" t="s">
        <v>227</v>
      </c>
      <c r="B16" s="4" t="s">
        <v>102</v>
      </c>
      <c r="C16" s="4" t="s">
        <v>228</v>
      </c>
      <c r="D16" s="13" t="s">
        <v>78</v>
      </c>
      <c r="E16" s="9" t="s">
        <v>25</v>
      </c>
      <c r="F16" s="4">
        <v>1</v>
      </c>
      <c r="G16" s="4" t="s">
        <v>229</v>
      </c>
      <c r="H16" s="4" t="s">
        <v>63</v>
      </c>
      <c r="I16" s="8" t="s">
        <v>59</v>
      </c>
    </row>
    <row r="17" ht="43" customHeight="1" spans="1:9">
      <c r="A17" s="4" t="s">
        <v>227</v>
      </c>
      <c r="B17" s="4" t="s">
        <v>230</v>
      </c>
      <c r="C17" s="4" t="s">
        <v>231</v>
      </c>
      <c r="D17" s="14" t="s">
        <v>51</v>
      </c>
      <c r="E17" s="9" t="s">
        <v>25</v>
      </c>
      <c r="F17" s="4">
        <v>1</v>
      </c>
      <c r="G17" s="4" t="s">
        <v>232</v>
      </c>
      <c r="H17" s="4" t="s">
        <v>63</v>
      </c>
      <c r="I17" s="8" t="s">
        <v>59</v>
      </c>
    </row>
    <row r="18" ht="43" customHeight="1" spans="1:9">
      <c r="A18" s="4" t="s">
        <v>233</v>
      </c>
      <c r="B18" s="4" t="s">
        <v>234</v>
      </c>
      <c r="C18" s="4" t="s">
        <v>235</v>
      </c>
      <c r="D18" s="13" t="s">
        <v>78</v>
      </c>
      <c r="E18" s="9" t="s">
        <v>25</v>
      </c>
      <c r="F18" s="4">
        <v>1</v>
      </c>
      <c r="G18" s="4" t="s">
        <v>236</v>
      </c>
      <c r="H18" s="4" t="s">
        <v>237</v>
      </c>
      <c r="I18" s="8" t="s">
        <v>59</v>
      </c>
    </row>
    <row r="19" ht="43" customHeight="1" spans="1:9">
      <c r="A19" s="4" t="s">
        <v>233</v>
      </c>
      <c r="B19" s="4" t="s">
        <v>238</v>
      </c>
      <c r="C19" s="4" t="s">
        <v>239</v>
      </c>
      <c r="D19" s="13" t="s">
        <v>78</v>
      </c>
      <c r="E19" s="9" t="s">
        <v>25</v>
      </c>
      <c r="F19" s="4">
        <v>1</v>
      </c>
      <c r="G19" s="4" t="s">
        <v>240</v>
      </c>
      <c r="H19" s="4" t="s">
        <v>63</v>
      </c>
      <c r="I19" s="8" t="s">
        <v>59</v>
      </c>
    </row>
    <row r="20" ht="43" customHeight="1" spans="1:9">
      <c r="A20" s="4" t="s">
        <v>233</v>
      </c>
      <c r="B20" s="4" t="s">
        <v>241</v>
      </c>
      <c r="C20" s="4" t="s">
        <v>242</v>
      </c>
      <c r="D20" s="14" t="s">
        <v>51</v>
      </c>
      <c r="E20" s="9" t="s">
        <v>25</v>
      </c>
      <c r="F20" s="4">
        <v>1</v>
      </c>
      <c r="G20" s="4" t="s">
        <v>243</v>
      </c>
      <c r="H20" s="4" t="s">
        <v>63</v>
      </c>
      <c r="I20" s="8" t="s">
        <v>59</v>
      </c>
    </row>
  </sheetData>
  <mergeCells count="2">
    <mergeCell ref="A1:H1"/>
    <mergeCell ref="A2:H2"/>
  </mergeCells>
  <conditionalFormatting sqref="E4:E20">
    <cfRule type="expression" dxfId="0" priority="3">
      <formula>E4="Done"</formula>
    </cfRule>
    <cfRule type="expression" dxfId="1" priority="4">
      <formula>E4="Pending"</formula>
    </cfRule>
    <cfRule type="expression" dxfId="2" priority="5">
      <formula>E4="Revision"</formula>
    </cfRule>
    <cfRule type="expression" dxfId="3" priority="6">
      <formula>E4="Not Started"</formula>
    </cfRule>
  </conditionalFormatting>
  <conditionalFormatting sqref="I4:I20">
    <cfRule type="expression" dxfId="4" priority="1">
      <formula>I4="☑"</formula>
    </cfRule>
    <cfRule type="expression" dxfId="5" priority="2">
      <formula>I4="☐"</formula>
    </cfRule>
  </conditionalFormatting>
  <dataValidations count="2">
    <dataValidation type="list" sqref="E4:E20">
      <formula1>"Not Started,Pending,Done,Revision"</formula1>
    </dataValidation>
    <dataValidation type="list" allowBlank="1" errorTitle="Select progress" error="Choose ☐ or ☑ from the dropdown." promptTitle="Progress checkbox" prompt="Choose ☑ when this item is complete." sqref="I4:I20">
      <formula1>"☐,☑"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2" customWidth="1"/>
    <col min="2" max="2" width="24" customWidth="1"/>
    <col min="3" max="3" width="38" customWidth="1"/>
    <col min="4" max="4" width="20" customWidth="1"/>
    <col min="5" max="5" width="48" customWidth="1"/>
    <col min="6" max="6" width="42" customWidth="1"/>
    <col min="7" max="7" width="58" customWidth="1"/>
    <col min="8" max="8" width="40" customWidth="1"/>
    <col min="9" max="10" width="48" customWidth="1"/>
    <col min="11" max="11" width="38" customWidth="1"/>
    <col min="12" max="12" width="48" customWidth="1"/>
    <col min="13" max="13" width="20" customWidth="1"/>
    <col min="14" max="15" width="16" customWidth="1"/>
    <col min="16" max="16" width="48" customWidth="1"/>
    <col min="17" max="17" width="36" customWidth="1"/>
  </cols>
  <sheetData>
    <row r="1" ht="36" customHeight="1" spans="1:17">
      <c r="A1" s="1" t="s">
        <v>244</v>
      </c>
      <c r="B1" s="1" t="s">
        <v>36</v>
      </c>
      <c r="C1" s="1" t="s">
        <v>245</v>
      </c>
      <c r="D1" s="1" t="s">
        <v>42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</row>
    <row r="2" ht="84" customHeight="1" spans="1:17">
      <c r="A2" s="2" t="s">
        <v>259</v>
      </c>
      <c r="B2" s="2" t="s">
        <v>260</v>
      </c>
      <c r="C2" s="2" t="s">
        <v>261</v>
      </c>
      <c r="D2" s="2" t="s">
        <v>262</v>
      </c>
      <c r="E2" s="2" t="s">
        <v>263</v>
      </c>
      <c r="F2" s="2" t="s">
        <v>264</v>
      </c>
      <c r="G2" s="2" t="s">
        <v>265</v>
      </c>
      <c r="H2" s="2" t="s">
        <v>266</v>
      </c>
      <c r="I2" s="2" t="s">
        <v>267</v>
      </c>
      <c r="J2" s="2" t="s">
        <v>268</v>
      </c>
      <c r="K2" s="3" t="s">
        <v>269</v>
      </c>
      <c r="L2" s="3" t="s">
        <v>269</v>
      </c>
      <c r="M2" s="2" t="s">
        <v>270</v>
      </c>
      <c r="N2" s="11"/>
      <c r="O2" s="11"/>
      <c r="P2" s="2" t="s">
        <v>271</v>
      </c>
      <c r="Q2" s="2"/>
    </row>
    <row r="3" ht="84" customHeight="1" spans="1:17">
      <c r="A3" s="4" t="s">
        <v>272</v>
      </c>
      <c r="B3" s="4" t="s">
        <v>273</v>
      </c>
      <c r="C3" s="4" t="s">
        <v>274</v>
      </c>
      <c r="D3" s="13" t="s">
        <v>262</v>
      </c>
      <c r="E3" s="4" t="s">
        <v>275</v>
      </c>
      <c r="F3" s="4" t="s">
        <v>276</v>
      </c>
      <c r="G3" s="4" t="s">
        <v>277</v>
      </c>
      <c r="H3" s="4" t="s">
        <v>278</v>
      </c>
      <c r="I3" s="4" t="s">
        <v>279</v>
      </c>
      <c r="J3" s="4" t="s">
        <v>280</v>
      </c>
      <c r="K3" s="5" t="s">
        <v>281</v>
      </c>
      <c r="L3" s="5" t="s">
        <v>281</v>
      </c>
      <c r="M3" s="4" t="s">
        <v>270</v>
      </c>
      <c r="N3" s="12"/>
      <c r="O3" s="12"/>
      <c r="P3" s="4" t="s">
        <v>271</v>
      </c>
      <c r="Q3" s="4"/>
    </row>
    <row r="4" ht="84" customHeight="1" spans="1:17">
      <c r="A4" s="2" t="s">
        <v>282</v>
      </c>
      <c r="B4" s="2" t="s">
        <v>260</v>
      </c>
      <c r="C4" s="2" t="s">
        <v>283</v>
      </c>
      <c r="D4" s="2" t="s">
        <v>262</v>
      </c>
      <c r="E4" s="2" t="s">
        <v>284</v>
      </c>
      <c r="F4" s="2" t="s">
        <v>285</v>
      </c>
      <c r="G4" s="2" t="s">
        <v>286</v>
      </c>
      <c r="H4" s="2" t="s">
        <v>287</v>
      </c>
      <c r="I4" s="2" t="s">
        <v>288</v>
      </c>
      <c r="J4" s="2" t="s">
        <v>289</v>
      </c>
      <c r="K4" s="3" t="s">
        <v>290</v>
      </c>
      <c r="L4" s="3" t="s">
        <v>290</v>
      </c>
      <c r="M4" s="2" t="s">
        <v>270</v>
      </c>
      <c r="N4" s="11"/>
      <c r="O4" s="11"/>
      <c r="P4" s="2" t="s">
        <v>271</v>
      </c>
      <c r="Q4" s="2"/>
    </row>
    <row r="5" ht="84" customHeight="1" spans="1:17">
      <c r="A5" s="4" t="s">
        <v>291</v>
      </c>
      <c r="B5" s="4" t="s">
        <v>273</v>
      </c>
      <c r="C5" s="4" t="s">
        <v>292</v>
      </c>
      <c r="D5" s="13" t="s">
        <v>262</v>
      </c>
      <c r="E5" s="4" t="s">
        <v>293</v>
      </c>
      <c r="F5" s="4" t="s">
        <v>294</v>
      </c>
      <c r="G5" s="4" t="s">
        <v>295</v>
      </c>
      <c r="H5" s="4" t="s">
        <v>296</v>
      </c>
      <c r="I5" s="4" t="s">
        <v>297</v>
      </c>
      <c r="J5" s="4" t="s">
        <v>298</v>
      </c>
      <c r="K5" s="5" t="s">
        <v>299</v>
      </c>
      <c r="L5" s="5" t="s">
        <v>299</v>
      </c>
      <c r="M5" s="4" t="s">
        <v>270</v>
      </c>
      <c r="N5" s="12"/>
      <c r="O5" s="12"/>
      <c r="P5" s="4" t="s">
        <v>271</v>
      </c>
      <c r="Q5" s="4"/>
    </row>
    <row r="6" ht="84" customHeight="1" spans="1:17">
      <c r="A6" s="2" t="s">
        <v>300</v>
      </c>
      <c r="B6" s="2" t="s">
        <v>273</v>
      </c>
      <c r="C6" s="2" t="s">
        <v>301</v>
      </c>
      <c r="D6" s="2" t="s">
        <v>42</v>
      </c>
      <c r="E6" s="2" t="s">
        <v>302</v>
      </c>
      <c r="F6" s="2" t="s">
        <v>303</v>
      </c>
      <c r="G6" s="2" t="s">
        <v>304</v>
      </c>
      <c r="H6" s="2" t="s">
        <v>305</v>
      </c>
      <c r="I6" s="2" t="s">
        <v>306</v>
      </c>
      <c r="J6" s="2" t="s">
        <v>307</v>
      </c>
      <c r="K6" s="3" t="s">
        <v>308</v>
      </c>
      <c r="L6" s="3" t="s">
        <v>308</v>
      </c>
      <c r="M6" s="2" t="s">
        <v>270</v>
      </c>
      <c r="N6" s="11"/>
      <c r="O6" s="11"/>
      <c r="P6" s="2" t="s">
        <v>271</v>
      </c>
      <c r="Q6" s="2"/>
    </row>
    <row r="7" ht="84" customHeight="1" spans="1:17">
      <c r="A7" s="4" t="s">
        <v>309</v>
      </c>
      <c r="B7" s="4" t="s">
        <v>273</v>
      </c>
      <c r="C7" s="4" t="s">
        <v>310</v>
      </c>
      <c r="D7" s="14" t="s">
        <v>42</v>
      </c>
      <c r="E7" s="4" t="s">
        <v>311</v>
      </c>
      <c r="F7" s="4" t="s">
        <v>312</v>
      </c>
      <c r="G7" s="4" t="s">
        <v>313</v>
      </c>
      <c r="H7" s="4" t="s">
        <v>314</v>
      </c>
      <c r="I7" s="4" t="s">
        <v>315</v>
      </c>
      <c r="J7" s="4" t="s">
        <v>316</v>
      </c>
      <c r="K7" s="5" t="s">
        <v>317</v>
      </c>
      <c r="L7" s="5" t="s">
        <v>317</v>
      </c>
      <c r="M7" s="4" t="s">
        <v>270</v>
      </c>
      <c r="N7" s="12"/>
      <c r="O7" s="12"/>
      <c r="P7" s="4" t="s">
        <v>271</v>
      </c>
      <c r="Q7" s="4"/>
    </row>
    <row r="8" ht="84" customHeight="1" spans="1:17">
      <c r="A8" s="2" t="s">
        <v>318</v>
      </c>
      <c r="B8" s="2" t="s">
        <v>273</v>
      </c>
      <c r="C8" s="2" t="s">
        <v>319</v>
      </c>
      <c r="D8" s="2" t="s">
        <v>42</v>
      </c>
      <c r="E8" s="2" t="s">
        <v>320</v>
      </c>
      <c r="F8" s="2" t="s">
        <v>321</v>
      </c>
      <c r="G8" s="2" t="s">
        <v>322</v>
      </c>
      <c r="H8" s="2" t="s">
        <v>323</v>
      </c>
      <c r="I8" s="2" t="s">
        <v>324</v>
      </c>
      <c r="J8" s="2" t="s">
        <v>325</v>
      </c>
      <c r="K8" s="3" t="s">
        <v>326</v>
      </c>
      <c r="L8" s="3" t="s">
        <v>326</v>
      </c>
      <c r="M8" s="2" t="s">
        <v>270</v>
      </c>
      <c r="N8" s="11"/>
      <c r="O8" s="11"/>
      <c r="P8" s="2" t="s">
        <v>271</v>
      </c>
      <c r="Q8" s="2"/>
    </row>
    <row r="9" ht="84" customHeight="1" spans="1:17">
      <c r="A9" s="4" t="s">
        <v>327</v>
      </c>
      <c r="B9" s="4" t="s">
        <v>273</v>
      </c>
      <c r="C9" s="4" t="s">
        <v>328</v>
      </c>
      <c r="D9" s="14" t="s">
        <v>42</v>
      </c>
      <c r="E9" s="4" t="s">
        <v>329</v>
      </c>
      <c r="F9" s="4" t="s">
        <v>330</v>
      </c>
      <c r="G9" s="4" t="s">
        <v>331</v>
      </c>
      <c r="H9" s="4" t="s">
        <v>332</v>
      </c>
      <c r="I9" s="4" t="s">
        <v>333</v>
      </c>
      <c r="J9" s="4" t="s">
        <v>334</v>
      </c>
      <c r="K9" s="5" t="s">
        <v>335</v>
      </c>
      <c r="L9" s="5" t="s">
        <v>335</v>
      </c>
      <c r="M9" s="4" t="s">
        <v>270</v>
      </c>
      <c r="N9" s="12"/>
      <c r="O9" s="12"/>
      <c r="P9" s="4" t="s">
        <v>271</v>
      </c>
      <c r="Q9" s="4"/>
    </row>
    <row r="10" ht="84" customHeight="1" spans="1:17">
      <c r="A10" s="2" t="s">
        <v>336</v>
      </c>
      <c r="B10" s="2" t="s">
        <v>273</v>
      </c>
      <c r="C10" s="2" t="s">
        <v>337</v>
      </c>
      <c r="D10" s="2" t="s">
        <v>42</v>
      </c>
      <c r="E10" s="2" t="s">
        <v>338</v>
      </c>
      <c r="F10" s="2" t="s">
        <v>339</v>
      </c>
      <c r="G10" s="2" t="s">
        <v>340</v>
      </c>
      <c r="H10" s="2" t="s">
        <v>341</v>
      </c>
      <c r="I10" s="2" t="s">
        <v>342</v>
      </c>
      <c r="J10" s="2" t="s">
        <v>343</v>
      </c>
      <c r="K10" s="3" t="s">
        <v>344</v>
      </c>
      <c r="L10" s="3" t="s">
        <v>344</v>
      </c>
      <c r="M10" s="2" t="s">
        <v>270</v>
      </c>
      <c r="N10" s="11"/>
      <c r="O10" s="11"/>
      <c r="P10" s="2" t="s">
        <v>271</v>
      </c>
      <c r="Q10" s="2"/>
    </row>
    <row r="11" ht="84" customHeight="1" spans="1:17">
      <c r="A11" s="4" t="s">
        <v>345</v>
      </c>
      <c r="B11" s="4" t="s">
        <v>273</v>
      </c>
      <c r="C11" s="4" t="s">
        <v>346</v>
      </c>
      <c r="D11" s="14" t="s">
        <v>42</v>
      </c>
      <c r="E11" s="4" t="s">
        <v>347</v>
      </c>
      <c r="F11" s="4" t="s">
        <v>348</v>
      </c>
      <c r="G11" s="4" t="s">
        <v>349</v>
      </c>
      <c r="H11" s="4" t="s">
        <v>350</v>
      </c>
      <c r="I11" s="4" t="s">
        <v>351</v>
      </c>
      <c r="J11" s="4" t="s">
        <v>352</v>
      </c>
      <c r="K11" s="5" t="s">
        <v>353</v>
      </c>
      <c r="L11" s="5" t="s">
        <v>353</v>
      </c>
      <c r="M11" s="4" t="s">
        <v>270</v>
      </c>
      <c r="N11" s="12"/>
      <c r="O11" s="12"/>
      <c r="P11" s="4" t="s">
        <v>271</v>
      </c>
      <c r="Q11" s="4"/>
    </row>
    <row r="12" ht="84" customHeight="1" spans="1:17">
      <c r="A12" s="2" t="s">
        <v>354</v>
      </c>
      <c r="B12" s="2" t="s">
        <v>355</v>
      </c>
      <c r="C12" s="2" t="s">
        <v>356</v>
      </c>
      <c r="D12" s="2" t="s">
        <v>42</v>
      </c>
      <c r="E12" s="2" t="s">
        <v>357</v>
      </c>
      <c r="F12" s="2" t="s">
        <v>358</v>
      </c>
      <c r="G12" s="2" t="s">
        <v>359</v>
      </c>
      <c r="H12" s="2" t="s">
        <v>360</v>
      </c>
      <c r="I12" s="2" t="s">
        <v>361</v>
      </c>
      <c r="J12" s="2" t="s">
        <v>362</v>
      </c>
      <c r="K12" s="3" t="s">
        <v>363</v>
      </c>
      <c r="L12" s="3" t="s">
        <v>363</v>
      </c>
      <c r="M12" s="2" t="s">
        <v>270</v>
      </c>
      <c r="N12" s="11"/>
      <c r="O12" s="11"/>
      <c r="P12" s="2" t="s">
        <v>271</v>
      </c>
      <c r="Q12" s="2"/>
    </row>
    <row r="13" ht="84" customHeight="1" spans="1:17">
      <c r="A13" s="4" t="s">
        <v>364</v>
      </c>
      <c r="B13" s="4" t="s">
        <v>355</v>
      </c>
      <c r="C13" s="4" t="s">
        <v>365</v>
      </c>
      <c r="D13" s="13" t="s">
        <v>262</v>
      </c>
      <c r="E13" s="4" t="s">
        <v>366</v>
      </c>
      <c r="F13" s="4" t="s">
        <v>367</v>
      </c>
      <c r="G13" s="4" t="s">
        <v>368</v>
      </c>
      <c r="H13" s="4" t="s">
        <v>369</v>
      </c>
      <c r="I13" s="4" t="s">
        <v>370</v>
      </c>
      <c r="J13" s="4" t="s">
        <v>371</v>
      </c>
      <c r="K13" s="5" t="s">
        <v>372</v>
      </c>
      <c r="L13" s="5" t="s">
        <v>372</v>
      </c>
      <c r="M13" s="4" t="s">
        <v>270</v>
      </c>
      <c r="N13" s="12"/>
      <c r="O13" s="12"/>
      <c r="P13" s="4" t="s">
        <v>271</v>
      </c>
      <c r="Q13" s="4"/>
    </row>
    <row r="14" ht="84" customHeight="1" spans="1:17">
      <c r="A14" s="2" t="s">
        <v>373</v>
      </c>
      <c r="B14" s="2" t="s">
        <v>355</v>
      </c>
      <c r="C14" s="2" t="s">
        <v>374</v>
      </c>
      <c r="D14" s="2" t="s">
        <v>262</v>
      </c>
      <c r="E14" s="2" t="s">
        <v>375</v>
      </c>
      <c r="F14" s="2" t="s">
        <v>376</v>
      </c>
      <c r="G14" s="2" t="s">
        <v>377</v>
      </c>
      <c r="H14" s="2" t="s">
        <v>378</v>
      </c>
      <c r="I14" s="2" t="s">
        <v>379</v>
      </c>
      <c r="J14" s="2" t="s">
        <v>380</v>
      </c>
      <c r="K14" s="3" t="s">
        <v>381</v>
      </c>
      <c r="L14" s="3" t="s">
        <v>381</v>
      </c>
      <c r="M14" s="2" t="s">
        <v>270</v>
      </c>
      <c r="N14" s="11"/>
      <c r="O14" s="11"/>
      <c r="P14" s="2" t="s">
        <v>271</v>
      </c>
      <c r="Q14" s="2"/>
    </row>
    <row r="15" ht="84" customHeight="1" spans="1:17">
      <c r="A15" s="4" t="s">
        <v>382</v>
      </c>
      <c r="B15" s="4" t="s">
        <v>355</v>
      </c>
      <c r="C15" s="4" t="s">
        <v>383</v>
      </c>
      <c r="D15" s="13" t="s">
        <v>262</v>
      </c>
      <c r="E15" s="4" t="s">
        <v>384</v>
      </c>
      <c r="F15" s="4" t="s">
        <v>385</v>
      </c>
      <c r="G15" s="4" t="s">
        <v>386</v>
      </c>
      <c r="H15" s="4" t="s">
        <v>387</v>
      </c>
      <c r="I15" s="4" t="s">
        <v>388</v>
      </c>
      <c r="J15" s="4" t="s">
        <v>389</v>
      </c>
      <c r="K15" s="5" t="s">
        <v>390</v>
      </c>
      <c r="L15" s="5" t="s">
        <v>390</v>
      </c>
      <c r="M15" s="4" t="s">
        <v>270</v>
      </c>
      <c r="N15" s="12"/>
      <c r="O15" s="12"/>
      <c r="P15" s="4" t="s">
        <v>271</v>
      </c>
      <c r="Q15" s="4"/>
    </row>
    <row r="16" ht="84" customHeight="1" spans="1:17">
      <c r="A16" s="2" t="s">
        <v>391</v>
      </c>
      <c r="B16" s="2" t="s">
        <v>355</v>
      </c>
      <c r="C16" s="2" t="s">
        <v>392</v>
      </c>
      <c r="D16" s="2" t="s">
        <v>262</v>
      </c>
      <c r="E16" s="2" t="s">
        <v>393</v>
      </c>
      <c r="F16" s="2" t="s">
        <v>394</v>
      </c>
      <c r="G16" s="2" t="s">
        <v>395</v>
      </c>
      <c r="H16" s="2" t="s">
        <v>396</v>
      </c>
      <c r="I16" s="2" t="s">
        <v>397</v>
      </c>
      <c r="J16" s="2" t="s">
        <v>398</v>
      </c>
      <c r="K16" s="3" t="s">
        <v>399</v>
      </c>
      <c r="L16" s="3" t="s">
        <v>399</v>
      </c>
      <c r="M16" s="2" t="s">
        <v>270</v>
      </c>
      <c r="N16" s="11"/>
      <c r="O16" s="11"/>
      <c r="P16" s="2" t="s">
        <v>271</v>
      </c>
      <c r="Q16" s="2"/>
    </row>
    <row r="17" ht="84" customHeight="1" spans="1:17">
      <c r="A17" s="4" t="s">
        <v>400</v>
      </c>
      <c r="B17" s="4" t="s">
        <v>355</v>
      </c>
      <c r="C17" s="4" t="s">
        <v>401</v>
      </c>
      <c r="D17" s="13" t="s">
        <v>262</v>
      </c>
      <c r="E17" s="4" t="s">
        <v>402</v>
      </c>
      <c r="F17" s="4" t="s">
        <v>403</v>
      </c>
      <c r="G17" s="4" t="s">
        <v>404</v>
      </c>
      <c r="H17" s="4" t="s">
        <v>405</v>
      </c>
      <c r="I17" s="4" t="s">
        <v>406</v>
      </c>
      <c r="J17" s="4" t="s">
        <v>407</v>
      </c>
      <c r="K17" s="5" t="s">
        <v>408</v>
      </c>
      <c r="L17" s="5" t="s">
        <v>408</v>
      </c>
      <c r="M17" s="4" t="s">
        <v>270</v>
      </c>
      <c r="N17" s="12"/>
      <c r="O17" s="12"/>
      <c r="P17" s="4" t="s">
        <v>271</v>
      </c>
      <c r="Q17" s="4"/>
    </row>
    <row r="18" ht="84" customHeight="1" spans="1:17">
      <c r="A18" s="2" t="s">
        <v>409</v>
      </c>
      <c r="B18" s="2" t="s">
        <v>355</v>
      </c>
      <c r="C18" s="2" t="s">
        <v>410</v>
      </c>
      <c r="D18" s="2" t="s">
        <v>42</v>
      </c>
      <c r="E18" s="2" t="s">
        <v>411</v>
      </c>
      <c r="F18" s="2" t="s">
        <v>412</v>
      </c>
      <c r="G18" s="2" t="s">
        <v>413</v>
      </c>
      <c r="H18" s="2" t="s">
        <v>414</v>
      </c>
      <c r="I18" s="2" t="s">
        <v>415</v>
      </c>
      <c r="J18" s="2" t="s">
        <v>416</v>
      </c>
      <c r="K18" s="3" t="s">
        <v>417</v>
      </c>
      <c r="L18" s="3" t="s">
        <v>417</v>
      </c>
      <c r="M18" s="2" t="s">
        <v>270</v>
      </c>
      <c r="N18" s="11"/>
      <c r="O18" s="11"/>
      <c r="P18" s="2" t="s">
        <v>271</v>
      </c>
      <c r="Q18" s="2"/>
    </row>
    <row r="19" ht="84" customHeight="1" spans="1:17">
      <c r="A19" s="4" t="s">
        <v>418</v>
      </c>
      <c r="B19" s="4" t="s">
        <v>355</v>
      </c>
      <c r="C19" s="4" t="s">
        <v>419</v>
      </c>
      <c r="D19" s="13" t="s">
        <v>262</v>
      </c>
      <c r="E19" s="4" t="s">
        <v>420</v>
      </c>
      <c r="F19" s="4" t="s">
        <v>421</v>
      </c>
      <c r="G19" s="4" t="s">
        <v>422</v>
      </c>
      <c r="H19" s="4" t="s">
        <v>423</v>
      </c>
      <c r="I19" s="4" t="s">
        <v>424</v>
      </c>
      <c r="J19" s="4" t="s">
        <v>425</v>
      </c>
      <c r="K19" s="5" t="s">
        <v>426</v>
      </c>
      <c r="L19" s="5" t="s">
        <v>426</v>
      </c>
      <c r="M19" s="4" t="s">
        <v>270</v>
      </c>
      <c r="N19" s="12"/>
      <c r="O19" s="12"/>
      <c r="P19" s="4" t="s">
        <v>271</v>
      </c>
      <c r="Q19" s="4"/>
    </row>
    <row r="20" ht="84" customHeight="1" spans="1:17">
      <c r="A20" s="2" t="s">
        <v>427</v>
      </c>
      <c r="B20" s="2" t="s">
        <v>428</v>
      </c>
      <c r="C20" s="2" t="s">
        <v>429</v>
      </c>
      <c r="D20" s="2" t="s">
        <v>430</v>
      </c>
      <c r="E20" s="2" t="s">
        <v>431</v>
      </c>
      <c r="F20" s="2" t="s">
        <v>432</v>
      </c>
      <c r="G20" s="2" t="s">
        <v>433</v>
      </c>
      <c r="H20" s="2" t="s">
        <v>434</v>
      </c>
      <c r="I20" s="2" t="s">
        <v>435</v>
      </c>
      <c r="J20" s="2" t="s">
        <v>436</v>
      </c>
      <c r="K20" s="3" t="s">
        <v>437</v>
      </c>
      <c r="L20" s="3" t="s">
        <v>437</v>
      </c>
      <c r="M20" s="2" t="s">
        <v>270</v>
      </c>
      <c r="N20" s="11"/>
      <c r="O20" s="11"/>
      <c r="P20" s="2" t="s">
        <v>271</v>
      </c>
      <c r="Q20" s="2"/>
    </row>
    <row r="21" ht="84" customHeight="1" spans="1:17">
      <c r="A21" s="4" t="s">
        <v>438</v>
      </c>
      <c r="B21" s="4" t="s">
        <v>273</v>
      </c>
      <c r="C21" s="4" t="s">
        <v>439</v>
      </c>
      <c r="D21" s="14" t="s">
        <v>430</v>
      </c>
      <c r="E21" s="4" t="s">
        <v>440</v>
      </c>
      <c r="F21" s="4" t="s">
        <v>441</v>
      </c>
      <c r="G21" s="4" t="s">
        <v>442</v>
      </c>
      <c r="H21" s="4" t="s">
        <v>443</v>
      </c>
      <c r="I21" s="4" t="s">
        <v>444</v>
      </c>
      <c r="J21" s="4" t="s">
        <v>445</v>
      </c>
      <c r="K21" s="5" t="s">
        <v>446</v>
      </c>
      <c r="L21" s="5" t="s">
        <v>446</v>
      </c>
      <c r="M21" s="4" t="s">
        <v>270</v>
      </c>
      <c r="N21" s="12"/>
      <c r="O21" s="12"/>
      <c r="P21" s="4" t="s">
        <v>271</v>
      </c>
      <c r="Q21" s="4"/>
    </row>
    <row r="22" ht="84" customHeight="1" spans="1:17">
      <c r="A22" s="2" t="s">
        <v>447</v>
      </c>
      <c r="B22" s="2" t="s">
        <v>448</v>
      </c>
      <c r="C22" s="2" t="s">
        <v>449</v>
      </c>
      <c r="D22" s="2" t="s">
        <v>430</v>
      </c>
      <c r="E22" s="2" t="s">
        <v>450</v>
      </c>
      <c r="F22" s="2" t="s">
        <v>451</v>
      </c>
      <c r="G22" s="2" t="s">
        <v>452</v>
      </c>
      <c r="H22" s="2" t="s">
        <v>453</v>
      </c>
      <c r="I22" s="2" t="s">
        <v>454</v>
      </c>
      <c r="J22" s="2" t="s">
        <v>455</v>
      </c>
      <c r="K22" s="3" t="s">
        <v>456</v>
      </c>
      <c r="L22" s="3" t="s">
        <v>456</v>
      </c>
      <c r="M22" s="2" t="s">
        <v>270</v>
      </c>
      <c r="N22" s="11"/>
      <c r="O22" s="11"/>
      <c r="P22" s="2" t="s">
        <v>271</v>
      </c>
      <c r="Q22" s="2"/>
    </row>
    <row r="23" ht="84" customHeight="1" spans="1:17">
      <c r="A23" s="4" t="s">
        <v>457</v>
      </c>
      <c r="B23" s="4" t="s">
        <v>355</v>
      </c>
      <c r="C23" s="4" t="s">
        <v>458</v>
      </c>
      <c r="D23" s="14" t="s">
        <v>430</v>
      </c>
      <c r="E23" s="4" t="s">
        <v>459</v>
      </c>
      <c r="F23" s="4" t="s">
        <v>460</v>
      </c>
      <c r="G23" s="4" t="s">
        <v>461</v>
      </c>
      <c r="H23" s="4" t="s">
        <v>462</v>
      </c>
      <c r="I23" s="4" t="s">
        <v>463</v>
      </c>
      <c r="J23" s="4" t="s">
        <v>464</v>
      </c>
      <c r="K23" s="5" t="s">
        <v>465</v>
      </c>
      <c r="L23" s="5" t="s">
        <v>465</v>
      </c>
      <c r="M23" s="4" t="s">
        <v>270</v>
      </c>
      <c r="N23" s="12"/>
      <c r="O23" s="12"/>
      <c r="P23" s="4" t="s">
        <v>271</v>
      </c>
      <c r="Q23" s="4"/>
    </row>
    <row r="24" ht="84" customHeight="1" spans="1:17">
      <c r="A24" s="2" t="s">
        <v>466</v>
      </c>
      <c r="B24" s="2" t="s">
        <v>273</v>
      </c>
      <c r="C24" s="2" t="s">
        <v>467</v>
      </c>
      <c r="D24" s="2" t="s">
        <v>42</v>
      </c>
      <c r="E24" s="2" t="s">
        <v>468</v>
      </c>
      <c r="F24" s="2" t="s">
        <v>469</v>
      </c>
      <c r="G24" s="2" t="s">
        <v>470</v>
      </c>
      <c r="H24" s="2" t="s">
        <v>471</v>
      </c>
      <c r="I24" s="2" t="s">
        <v>472</v>
      </c>
      <c r="J24" s="2" t="s">
        <v>473</v>
      </c>
      <c r="K24" s="3" t="s">
        <v>317</v>
      </c>
      <c r="L24" s="2"/>
      <c r="M24" s="2" t="s">
        <v>270</v>
      </c>
      <c r="N24" s="11"/>
      <c r="O24" s="11"/>
      <c r="P24" s="2" t="s">
        <v>271</v>
      </c>
      <c r="Q24" s="2"/>
    </row>
    <row r="25" ht="84" customHeight="1" spans="1:17">
      <c r="A25" s="4" t="s">
        <v>474</v>
      </c>
      <c r="B25" s="4" t="s">
        <v>260</v>
      </c>
      <c r="C25" s="4" t="s">
        <v>475</v>
      </c>
      <c r="D25" s="14" t="s">
        <v>476</v>
      </c>
      <c r="E25" s="4" t="s">
        <v>477</v>
      </c>
      <c r="F25" s="4" t="s">
        <v>478</v>
      </c>
      <c r="G25" s="4" t="s">
        <v>479</v>
      </c>
      <c r="H25" s="4" t="s">
        <v>480</v>
      </c>
      <c r="I25" s="4" t="s">
        <v>481</v>
      </c>
      <c r="J25" s="4" t="s">
        <v>482</v>
      </c>
      <c r="K25" s="5" t="s">
        <v>335</v>
      </c>
      <c r="L25" s="4"/>
      <c r="M25" s="4" t="s">
        <v>270</v>
      </c>
      <c r="N25" s="12"/>
      <c r="O25" s="12"/>
      <c r="P25" s="4" t="s">
        <v>271</v>
      </c>
      <c r="Q25" s="4"/>
    </row>
    <row r="26" ht="84" customHeight="1" spans="1:17">
      <c r="A26" s="2" t="s">
        <v>483</v>
      </c>
      <c r="B26" s="2" t="s">
        <v>448</v>
      </c>
      <c r="C26" s="2" t="s">
        <v>484</v>
      </c>
      <c r="D26" s="2" t="s">
        <v>262</v>
      </c>
      <c r="E26" s="2" t="s">
        <v>485</v>
      </c>
      <c r="F26" s="2" t="s">
        <v>486</v>
      </c>
      <c r="G26" s="2" t="s">
        <v>487</v>
      </c>
      <c r="H26" s="2" t="s">
        <v>488</v>
      </c>
      <c r="I26" s="2" t="s">
        <v>489</v>
      </c>
      <c r="J26" s="2" t="s">
        <v>490</v>
      </c>
      <c r="K26" s="3" t="s">
        <v>269</v>
      </c>
      <c r="L26" s="2"/>
      <c r="M26" s="2" t="s">
        <v>270</v>
      </c>
      <c r="N26" s="11"/>
      <c r="O26" s="11"/>
      <c r="P26" s="2" t="s">
        <v>271</v>
      </c>
      <c r="Q26" s="2"/>
    </row>
    <row r="27" ht="84" customHeight="1" spans="1:17">
      <c r="A27" s="4" t="s">
        <v>491</v>
      </c>
      <c r="B27" s="4" t="s">
        <v>448</v>
      </c>
      <c r="C27" s="4" t="s">
        <v>492</v>
      </c>
      <c r="D27" s="13" t="s">
        <v>262</v>
      </c>
      <c r="E27" s="4" t="s">
        <v>493</v>
      </c>
      <c r="F27" s="4" t="s">
        <v>494</v>
      </c>
      <c r="G27" s="4" t="s">
        <v>495</v>
      </c>
      <c r="H27" s="4" t="s">
        <v>496</v>
      </c>
      <c r="I27" s="4" t="s">
        <v>497</v>
      </c>
      <c r="J27" s="4" t="s">
        <v>498</v>
      </c>
      <c r="K27" s="5" t="s">
        <v>281</v>
      </c>
      <c r="L27" s="4"/>
      <c r="M27" s="4" t="s">
        <v>270</v>
      </c>
      <c r="N27" s="12"/>
      <c r="O27" s="12"/>
      <c r="P27" s="4" t="s">
        <v>271</v>
      </c>
      <c r="Q27" s="4"/>
    </row>
    <row r="28" ht="84" customHeight="1" spans="1:17">
      <c r="A28" s="2" t="s">
        <v>499</v>
      </c>
      <c r="B28" s="2" t="s">
        <v>448</v>
      </c>
      <c r="C28" s="2" t="s">
        <v>500</v>
      </c>
      <c r="D28" s="2" t="s">
        <v>430</v>
      </c>
      <c r="E28" s="2" t="s">
        <v>501</v>
      </c>
      <c r="F28" s="2" t="s">
        <v>502</v>
      </c>
      <c r="G28" s="2" t="s">
        <v>503</v>
      </c>
      <c r="H28" s="2" t="s">
        <v>504</v>
      </c>
      <c r="I28" s="2" t="s">
        <v>505</v>
      </c>
      <c r="J28" s="2" t="s">
        <v>506</v>
      </c>
      <c r="K28" s="3" t="s">
        <v>507</v>
      </c>
      <c r="L28" s="3" t="s">
        <v>507</v>
      </c>
      <c r="M28" s="2" t="s">
        <v>270</v>
      </c>
      <c r="N28" s="11"/>
      <c r="O28" s="11"/>
      <c r="P28" s="2" t="s">
        <v>271</v>
      </c>
      <c r="Q28" s="2"/>
    </row>
  </sheetData>
  <dataValidations count="1">
    <dataValidation type="list" allowBlank="1" sqref="M2:M28">
      <formula1>"Not started,To research,Ready to apply,Applied,Assessment,Interview,Offer,Rejected,On hold"</formula1>
    </dataValidation>
  </dataValidations>
  <hyperlinks>
    <hyperlink ref="K2" r:id="rId2" display="https://careers.microsoft.com/"/>
    <hyperlink ref="L2" r:id="rId2" display="https://careers.microsoft.com/"/>
    <hyperlink ref="K3" r:id="rId3" display="https://www.amazon.jobs/"/>
    <hyperlink ref="L3" r:id="rId3" display="https://www.amazon.jobs/"/>
    <hyperlink ref="K4" r:id="rId4" display="https://www.google.com/about/careers/applications/"/>
    <hyperlink ref="L4" r:id="rId4" display="https://www.google.com/about/careers/applications/"/>
    <hyperlink ref="K5" r:id="rId5" display="https://careers.adobe.com/"/>
    <hyperlink ref="L5" r:id="rId5" display="https://careers.adobe.com/"/>
    <hyperlink ref="K6" r:id="rId6" display="https://www.accenture.com/in-en/careers"/>
    <hyperlink ref="L6" r:id="rId6" display="https://www.accenture.com/in-en/careers"/>
    <hyperlink ref="K7" r:id="rId7" display="https://www.tcs.com/careers/india"/>
    <hyperlink ref="L7" r:id="rId7" display="https://www.tcs.com/careers/india"/>
    <hyperlink ref="K8" r:id="rId8" display="https://www.infosys.com/careers/"/>
    <hyperlink ref="L8" r:id="rId8" display="https://www.infosys.com/careers/"/>
    <hyperlink ref="K9" r:id="rId9" display="https://careers.hcltech.com/"/>
    <hyperlink ref="L9" r:id="rId9" display="https://careers.hcltech.com/"/>
    <hyperlink ref="K10" r:id="rId10" display="https://careers.wipro.com/"/>
    <hyperlink ref="L10" r:id="rId10" display="https://careers.wipro.com/"/>
    <hyperlink ref="K11" r:id="rId11" display="https://careers.cognizant.com/india-en/"/>
    <hyperlink ref="L11" r:id="rId11" display="https://careers.cognizant.com/india-en/"/>
    <hyperlink ref="K12" r:id="rId12" display="https://www.zoho.com/careers.html"/>
    <hyperlink ref="L12" r:id="rId12" display="https://www.zoho.com/careers.html"/>
    <hyperlink ref="K13" r:id="rId13" display="https://www.freshworks.com/company/careers/"/>
    <hyperlink ref="L13" r:id="rId13" display="https://www.freshworks.com/company/careers/"/>
    <hyperlink ref="K14" r:id="rId14" display="https://razorpay.com/jobs/"/>
    <hyperlink ref="L14" r:id="rId14" display="https://razorpay.com/jobs/"/>
    <hyperlink ref="K15" r:id="rId15" display="https://www.phonepe.com/careers/"/>
    <hyperlink ref="L15" r:id="rId15" display="https://www.phonepe.com/careers/"/>
    <hyperlink ref="K16" r:id="rId16" display="https://www.meesho.io/jobs"/>
    <hyperlink ref="L16" r:id="rId16" display="https://www.meesho.io/jobs"/>
    <hyperlink ref="K17" r:id="rId17" display="https://groww.in/careers"/>
    <hyperlink ref="L17" r:id="rId17" display="https://groww.in/careers"/>
    <hyperlink ref="K18" r:id="rId18" display="https://www.browserstack.com/careers/"/>
    <hyperlink ref="L18" r:id="rId18" display="https://www.browserstack.com/careers/"/>
    <hyperlink ref="K19" r:id="rId19" display="https://www.postman.com/company/careers/"/>
    <hyperlink ref="L19" r:id="rId19" display="https://www.postman.com/company/careers/"/>
    <hyperlink ref="K20" r:id="rId20" display="https://www.gnosify.in/careers"/>
    <hyperlink ref="L20" r:id="rId20" display="https://www.gnosify.in/careers"/>
    <hyperlink ref="K21" r:id="rId21" display="https://www.radialbrain.com/careers/"/>
    <hyperlink ref="L21" r:id="rId21" display="https://www.radialbrain.com/careers/"/>
    <hyperlink ref="K22" r:id="rId22" display="https://www.recruit.vatsaltechnosoft.com/jobs/react-react-native-freshers"/>
    <hyperlink ref="L22" r:id="rId22" display="https://www.recruit.vatsaltechnosoft.com/jobs/react-react-native-freshers"/>
    <hyperlink ref="K23" r:id="rId23" display="https://www.originsoftwares.com/careers"/>
    <hyperlink ref="L23" r:id="rId23" display="https://www.originsoftwares.com/careers"/>
    <hyperlink ref="K24" r:id="rId7" display="https://www.tcs.com/careers/india"/>
    <hyperlink ref="K25" r:id="rId9" display="https://careers.hcltech.com/"/>
    <hyperlink ref="K26" r:id="rId2" display="https://careers.microsoft.com/"/>
    <hyperlink ref="K27" r:id="rId3" display="https://www.amazon.jobs/"/>
    <hyperlink ref="K28" r:id="rId24" display="https://careers.stayboba.com/apply/full-stack-college/"/>
    <hyperlink ref="L28" r:id="rId24" display="https://careers.stayboba.com/apply/full-stack-college/"/>
  </hyperlink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8" customWidth="1"/>
    <col min="2" max="2" width="40" customWidth="1"/>
    <col min="3" max="3" width="54" customWidth="1"/>
    <col min="4" max="4" width="24" customWidth="1"/>
    <col min="5" max="5" width="58" customWidth="1"/>
    <col min="6" max="6" width="28" customWidth="1"/>
    <col min="7" max="7" width="20" customWidth="1"/>
    <col min="8" max="8" width="16" customWidth="1"/>
    <col min="9" max="9" width="46" customWidth="1"/>
  </cols>
  <sheetData>
    <row r="1" ht="36" customHeight="1" spans="1:9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</row>
    <row r="2" ht="64" customHeight="1" spans="1:9">
      <c r="A2" s="2" t="s">
        <v>517</v>
      </c>
      <c r="B2" s="2" t="s">
        <v>518</v>
      </c>
      <c r="C2" s="3" t="s">
        <v>519</v>
      </c>
      <c r="D2" s="2" t="s">
        <v>520</v>
      </c>
      <c r="E2" s="2" t="s">
        <v>521</v>
      </c>
      <c r="F2" s="2" t="s">
        <v>522</v>
      </c>
      <c r="G2" s="2" t="s">
        <v>270</v>
      </c>
      <c r="H2" s="11"/>
      <c r="I2" s="2" t="s">
        <v>523</v>
      </c>
    </row>
    <row r="3" ht="64" customHeight="1" spans="1:9">
      <c r="A3" s="4" t="s">
        <v>438</v>
      </c>
      <c r="B3" s="4" t="s">
        <v>439</v>
      </c>
      <c r="C3" s="5" t="s">
        <v>446</v>
      </c>
      <c r="D3" s="4" t="s">
        <v>520</v>
      </c>
      <c r="E3" s="4" t="s">
        <v>524</v>
      </c>
      <c r="F3" s="4" t="s">
        <v>525</v>
      </c>
      <c r="G3" s="4" t="s">
        <v>270</v>
      </c>
      <c r="H3" s="12"/>
      <c r="I3" s="4" t="s">
        <v>523</v>
      </c>
    </row>
    <row r="4" ht="64" customHeight="1" spans="1:9">
      <c r="A4" s="2" t="s">
        <v>526</v>
      </c>
      <c r="B4" s="2" t="s">
        <v>527</v>
      </c>
      <c r="C4" s="3" t="s">
        <v>528</v>
      </c>
      <c r="D4" s="2" t="s">
        <v>520</v>
      </c>
      <c r="E4" s="2" t="s">
        <v>529</v>
      </c>
      <c r="F4" s="2" t="s">
        <v>525</v>
      </c>
      <c r="G4" s="2" t="s">
        <v>270</v>
      </c>
      <c r="H4" s="11"/>
      <c r="I4" s="2" t="s">
        <v>523</v>
      </c>
    </row>
    <row r="5" ht="64" customHeight="1" spans="1:9">
      <c r="A5" s="4" t="s">
        <v>530</v>
      </c>
      <c r="B5" s="4" t="s">
        <v>531</v>
      </c>
      <c r="C5" s="5" t="s">
        <v>532</v>
      </c>
      <c r="D5" s="4" t="s">
        <v>520</v>
      </c>
      <c r="E5" s="4" t="s">
        <v>533</v>
      </c>
      <c r="F5" s="4" t="s">
        <v>525</v>
      </c>
      <c r="G5" s="4" t="s">
        <v>270</v>
      </c>
      <c r="H5" s="12"/>
      <c r="I5" s="4" t="s">
        <v>523</v>
      </c>
    </row>
    <row r="6" ht="64" customHeight="1" spans="1:9">
      <c r="A6" s="2" t="s">
        <v>534</v>
      </c>
      <c r="B6" s="2" t="s">
        <v>535</v>
      </c>
      <c r="C6" s="3" t="s">
        <v>536</v>
      </c>
      <c r="D6" s="2" t="s">
        <v>520</v>
      </c>
      <c r="E6" s="2" t="s">
        <v>537</v>
      </c>
      <c r="F6" s="2" t="s">
        <v>525</v>
      </c>
      <c r="G6" s="2" t="s">
        <v>270</v>
      </c>
      <c r="H6" s="11"/>
      <c r="I6" s="2" t="s">
        <v>523</v>
      </c>
    </row>
    <row r="7" ht="64" customHeight="1" spans="1:9">
      <c r="A7" s="4" t="s">
        <v>538</v>
      </c>
      <c r="B7" s="4" t="s">
        <v>539</v>
      </c>
      <c r="C7" s="5" t="s">
        <v>540</v>
      </c>
      <c r="D7" s="4" t="s">
        <v>541</v>
      </c>
      <c r="E7" s="4" t="s">
        <v>542</v>
      </c>
      <c r="F7" s="4" t="s">
        <v>543</v>
      </c>
      <c r="G7" s="4" t="s">
        <v>270</v>
      </c>
      <c r="H7" s="12"/>
      <c r="I7" s="4" t="s">
        <v>523</v>
      </c>
    </row>
    <row r="8" ht="64" customHeight="1" spans="1:9">
      <c r="A8" s="2" t="s">
        <v>544</v>
      </c>
      <c r="B8" s="2" t="s">
        <v>545</v>
      </c>
      <c r="C8" s="3" t="s">
        <v>546</v>
      </c>
      <c r="D8" s="2" t="s">
        <v>541</v>
      </c>
      <c r="E8" s="2" t="s">
        <v>547</v>
      </c>
      <c r="F8" s="2" t="s">
        <v>548</v>
      </c>
      <c r="G8" s="2" t="s">
        <v>270</v>
      </c>
      <c r="H8" s="11"/>
      <c r="I8" s="2" t="s">
        <v>523</v>
      </c>
    </row>
    <row r="9" ht="64" customHeight="1" spans="1:9">
      <c r="A9" s="4" t="s">
        <v>549</v>
      </c>
      <c r="B9" s="4" t="s">
        <v>550</v>
      </c>
      <c r="C9" s="5" t="s">
        <v>551</v>
      </c>
      <c r="D9" s="4" t="s">
        <v>520</v>
      </c>
      <c r="E9" s="4" t="s">
        <v>552</v>
      </c>
      <c r="F9" s="4" t="s">
        <v>553</v>
      </c>
      <c r="G9" s="4" t="s">
        <v>270</v>
      </c>
      <c r="H9" s="12"/>
      <c r="I9" s="4" t="s">
        <v>523</v>
      </c>
    </row>
    <row r="10" ht="64" customHeight="1" spans="1:9">
      <c r="A10" s="2" t="s">
        <v>259</v>
      </c>
      <c r="B10" s="2" t="s">
        <v>554</v>
      </c>
      <c r="C10" s="3" t="s">
        <v>269</v>
      </c>
      <c r="D10" s="2" t="s">
        <v>520</v>
      </c>
      <c r="E10" s="2" t="s">
        <v>555</v>
      </c>
      <c r="F10" s="2" t="s">
        <v>556</v>
      </c>
      <c r="G10" s="2" t="s">
        <v>270</v>
      </c>
      <c r="H10" s="11"/>
      <c r="I10" s="2" t="s">
        <v>523</v>
      </c>
    </row>
    <row r="11" ht="64" customHeight="1" spans="1:9">
      <c r="A11" s="4" t="s">
        <v>272</v>
      </c>
      <c r="B11" s="4" t="s">
        <v>557</v>
      </c>
      <c r="C11" s="5" t="s">
        <v>281</v>
      </c>
      <c r="D11" s="4" t="s">
        <v>520</v>
      </c>
      <c r="E11" s="4" t="s">
        <v>558</v>
      </c>
      <c r="F11" s="4" t="s">
        <v>559</v>
      </c>
      <c r="G11" s="4" t="s">
        <v>270</v>
      </c>
      <c r="H11" s="12"/>
      <c r="I11" s="4" t="s">
        <v>523</v>
      </c>
    </row>
    <row r="12" ht="64" customHeight="1" spans="1:9">
      <c r="A12" s="2" t="s">
        <v>282</v>
      </c>
      <c r="B12" s="2" t="s">
        <v>560</v>
      </c>
      <c r="C12" s="3" t="s">
        <v>290</v>
      </c>
      <c r="D12" s="2" t="s">
        <v>520</v>
      </c>
      <c r="E12" s="2" t="s">
        <v>561</v>
      </c>
      <c r="F12" s="2" t="s">
        <v>556</v>
      </c>
      <c r="G12" s="2" t="s">
        <v>270</v>
      </c>
      <c r="H12" s="11"/>
      <c r="I12" s="2" t="s">
        <v>523</v>
      </c>
    </row>
    <row r="13" ht="64" customHeight="1" spans="1:9">
      <c r="A13" s="4" t="s">
        <v>291</v>
      </c>
      <c r="B13" s="4" t="s">
        <v>562</v>
      </c>
      <c r="C13" s="5" t="s">
        <v>299</v>
      </c>
      <c r="D13" s="4" t="s">
        <v>520</v>
      </c>
      <c r="E13" s="4" t="s">
        <v>563</v>
      </c>
      <c r="F13" s="4" t="s">
        <v>556</v>
      </c>
      <c r="G13" s="4" t="s">
        <v>270</v>
      </c>
      <c r="H13" s="12"/>
      <c r="I13" s="4" t="s">
        <v>523</v>
      </c>
    </row>
    <row r="14" ht="64" customHeight="1" spans="1:9">
      <c r="A14" s="2" t="s">
        <v>300</v>
      </c>
      <c r="B14" s="2" t="s">
        <v>564</v>
      </c>
      <c r="C14" s="3" t="s">
        <v>308</v>
      </c>
      <c r="D14" s="2" t="s">
        <v>520</v>
      </c>
      <c r="E14" s="2" t="s">
        <v>565</v>
      </c>
      <c r="F14" s="2" t="s">
        <v>556</v>
      </c>
      <c r="G14" s="2" t="s">
        <v>270</v>
      </c>
      <c r="H14" s="11"/>
      <c r="I14" s="2" t="s">
        <v>523</v>
      </c>
    </row>
    <row r="15" ht="64" customHeight="1" spans="1:9">
      <c r="A15" s="4" t="s">
        <v>309</v>
      </c>
      <c r="B15" s="4" t="s">
        <v>566</v>
      </c>
      <c r="C15" s="5" t="s">
        <v>317</v>
      </c>
      <c r="D15" s="4" t="s">
        <v>520</v>
      </c>
      <c r="E15" s="4" t="s">
        <v>567</v>
      </c>
      <c r="F15" s="4" t="s">
        <v>556</v>
      </c>
      <c r="G15" s="4" t="s">
        <v>270</v>
      </c>
      <c r="H15" s="12"/>
      <c r="I15" s="4" t="s">
        <v>523</v>
      </c>
    </row>
    <row r="16" ht="64" customHeight="1" spans="1:9">
      <c r="A16" s="2" t="s">
        <v>318</v>
      </c>
      <c r="B16" s="2" t="s">
        <v>568</v>
      </c>
      <c r="C16" s="3" t="s">
        <v>326</v>
      </c>
      <c r="D16" s="2" t="s">
        <v>520</v>
      </c>
      <c r="E16" s="2" t="s">
        <v>569</v>
      </c>
      <c r="F16" s="2" t="s">
        <v>556</v>
      </c>
      <c r="G16" s="2" t="s">
        <v>270</v>
      </c>
      <c r="H16" s="11"/>
      <c r="I16" s="2" t="s">
        <v>523</v>
      </c>
    </row>
    <row r="17" ht="64" customHeight="1" spans="1:9">
      <c r="A17" s="4" t="s">
        <v>327</v>
      </c>
      <c r="B17" s="4" t="s">
        <v>570</v>
      </c>
      <c r="C17" s="5" t="s">
        <v>335</v>
      </c>
      <c r="D17" s="4" t="s">
        <v>520</v>
      </c>
      <c r="E17" s="4" t="s">
        <v>571</v>
      </c>
      <c r="F17" s="4" t="s">
        <v>556</v>
      </c>
      <c r="G17" s="4" t="s">
        <v>270</v>
      </c>
      <c r="H17" s="12"/>
      <c r="I17" s="4" t="s">
        <v>523</v>
      </c>
    </row>
    <row r="18" ht="64" customHeight="1" spans="1:9">
      <c r="A18" s="2" t="s">
        <v>336</v>
      </c>
      <c r="B18" s="2" t="s">
        <v>572</v>
      </c>
      <c r="C18" s="3" t="s">
        <v>344</v>
      </c>
      <c r="D18" s="2" t="s">
        <v>520</v>
      </c>
      <c r="E18" s="2" t="s">
        <v>573</v>
      </c>
      <c r="F18" s="2" t="s">
        <v>556</v>
      </c>
      <c r="G18" s="2" t="s">
        <v>270</v>
      </c>
      <c r="H18" s="11"/>
      <c r="I18" s="2" t="s">
        <v>523</v>
      </c>
    </row>
    <row r="19" ht="64" customHeight="1" spans="1:9">
      <c r="A19" s="4" t="s">
        <v>345</v>
      </c>
      <c r="B19" s="4" t="s">
        <v>574</v>
      </c>
      <c r="C19" s="5" t="s">
        <v>353</v>
      </c>
      <c r="D19" s="4" t="s">
        <v>520</v>
      </c>
      <c r="E19" s="4" t="s">
        <v>575</v>
      </c>
      <c r="F19" s="4" t="s">
        <v>556</v>
      </c>
      <c r="G19" s="4" t="s">
        <v>270</v>
      </c>
      <c r="H19" s="12"/>
      <c r="I19" s="4" t="s">
        <v>523</v>
      </c>
    </row>
    <row r="20" ht="64" customHeight="1" spans="1:9">
      <c r="A20" s="2" t="s">
        <v>354</v>
      </c>
      <c r="B20" s="2" t="s">
        <v>576</v>
      </c>
      <c r="C20" s="3" t="s">
        <v>363</v>
      </c>
      <c r="D20" s="2" t="s">
        <v>520</v>
      </c>
      <c r="E20" s="2" t="s">
        <v>577</v>
      </c>
      <c r="F20" s="2" t="s">
        <v>556</v>
      </c>
      <c r="G20" s="2" t="s">
        <v>270</v>
      </c>
      <c r="H20" s="11"/>
      <c r="I20" s="2" t="s">
        <v>523</v>
      </c>
    </row>
    <row r="21" ht="64" customHeight="1" spans="1:9">
      <c r="A21" s="4" t="s">
        <v>364</v>
      </c>
      <c r="B21" s="4" t="s">
        <v>578</v>
      </c>
      <c r="C21" s="5" t="s">
        <v>372</v>
      </c>
      <c r="D21" s="4" t="s">
        <v>520</v>
      </c>
      <c r="E21" s="4" t="s">
        <v>579</v>
      </c>
      <c r="F21" s="4" t="s">
        <v>556</v>
      </c>
      <c r="G21" s="4" t="s">
        <v>270</v>
      </c>
      <c r="H21" s="12"/>
      <c r="I21" s="4" t="s">
        <v>523</v>
      </c>
    </row>
    <row r="22" ht="64" customHeight="1" spans="1:9">
      <c r="A22" s="2" t="s">
        <v>373</v>
      </c>
      <c r="B22" s="2" t="s">
        <v>580</v>
      </c>
      <c r="C22" s="3" t="s">
        <v>381</v>
      </c>
      <c r="D22" s="2" t="s">
        <v>520</v>
      </c>
      <c r="E22" s="2" t="s">
        <v>581</v>
      </c>
      <c r="F22" s="2" t="s">
        <v>559</v>
      </c>
      <c r="G22" s="2" t="s">
        <v>270</v>
      </c>
      <c r="H22" s="11"/>
      <c r="I22" s="2" t="s">
        <v>523</v>
      </c>
    </row>
    <row r="23" ht="64" customHeight="1" spans="1:9">
      <c r="A23" s="4" t="s">
        <v>382</v>
      </c>
      <c r="B23" s="4" t="s">
        <v>580</v>
      </c>
      <c r="C23" s="5" t="s">
        <v>390</v>
      </c>
      <c r="D23" s="4" t="s">
        <v>520</v>
      </c>
      <c r="E23" s="4" t="s">
        <v>582</v>
      </c>
      <c r="F23" s="4" t="s">
        <v>556</v>
      </c>
      <c r="G23" s="4" t="s">
        <v>270</v>
      </c>
      <c r="H23" s="12"/>
      <c r="I23" s="4" t="s">
        <v>523</v>
      </c>
    </row>
    <row r="24" ht="64" customHeight="1" spans="1:9">
      <c r="A24" s="2" t="s">
        <v>391</v>
      </c>
      <c r="B24" s="2" t="s">
        <v>583</v>
      </c>
      <c r="C24" s="3" t="s">
        <v>399</v>
      </c>
      <c r="D24" s="2" t="s">
        <v>520</v>
      </c>
      <c r="E24" s="2" t="s">
        <v>584</v>
      </c>
      <c r="F24" s="2" t="s">
        <v>559</v>
      </c>
      <c r="G24" s="2" t="s">
        <v>270</v>
      </c>
      <c r="H24" s="11"/>
      <c r="I24" s="2" t="s">
        <v>523</v>
      </c>
    </row>
    <row r="25" ht="64" customHeight="1" spans="1:9">
      <c r="A25" s="4" t="s">
        <v>400</v>
      </c>
      <c r="B25" s="4" t="s">
        <v>580</v>
      </c>
      <c r="C25" s="5" t="s">
        <v>408</v>
      </c>
      <c r="D25" s="4" t="s">
        <v>520</v>
      </c>
      <c r="E25" s="4" t="s">
        <v>585</v>
      </c>
      <c r="F25" s="4" t="s">
        <v>556</v>
      </c>
      <c r="G25" s="4" t="s">
        <v>270</v>
      </c>
      <c r="H25" s="12"/>
      <c r="I25" s="4" t="s">
        <v>523</v>
      </c>
    </row>
    <row r="26" ht="64" customHeight="1" spans="1:9">
      <c r="A26" s="2" t="s">
        <v>409</v>
      </c>
      <c r="B26" s="2" t="s">
        <v>586</v>
      </c>
      <c r="C26" s="3" t="s">
        <v>417</v>
      </c>
      <c r="D26" s="2" t="s">
        <v>520</v>
      </c>
      <c r="E26" s="2" t="s">
        <v>587</v>
      </c>
      <c r="F26" s="2" t="s">
        <v>556</v>
      </c>
      <c r="G26" s="2" t="s">
        <v>270</v>
      </c>
      <c r="H26" s="11"/>
      <c r="I26" s="2" t="s">
        <v>523</v>
      </c>
    </row>
    <row r="27" ht="64" customHeight="1" spans="1:9">
      <c r="A27" s="4" t="s">
        <v>418</v>
      </c>
      <c r="B27" s="4" t="s">
        <v>588</v>
      </c>
      <c r="C27" s="5" t="s">
        <v>426</v>
      </c>
      <c r="D27" s="4" t="s">
        <v>520</v>
      </c>
      <c r="E27" s="4" t="s">
        <v>589</v>
      </c>
      <c r="F27" s="4" t="s">
        <v>556</v>
      </c>
      <c r="G27" s="4" t="s">
        <v>270</v>
      </c>
      <c r="H27" s="12"/>
      <c r="I27" s="4" t="s">
        <v>523</v>
      </c>
    </row>
    <row r="28" ht="64" customHeight="1" spans="1:9">
      <c r="A28" s="2" t="s">
        <v>427</v>
      </c>
      <c r="B28" s="2" t="s">
        <v>590</v>
      </c>
      <c r="C28" s="3" t="s">
        <v>437</v>
      </c>
      <c r="D28" s="2" t="s">
        <v>520</v>
      </c>
      <c r="E28" s="2" t="s">
        <v>591</v>
      </c>
      <c r="F28" s="2" t="s">
        <v>525</v>
      </c>
      <c r="G28" s="2" t="s">
        <v>270</v>
      </c>
      <c r="H28" s="11"/>
      <c r="I28" s="2" t="s">
        <v>523</v>
      </c>
    </row>
    <row r="29" ht="64" customHeight="1" spans="1:9">
      <c r="A29" s="4" t="s">
        <v>457</v>
      </c>
      <c r="B29" s="4" t="s">
        <v>592</v>
      </c>
      <c r="C29" s="5" t="s">
        <v>465</v>
      </c>
      <c r="D29" s="4" t="s">
        <v>520</v>
      </c>
      <c r="E29" s="4" t="s">
        <v>593</v>
      </c>
      <c r="F29" s="4" t="s">
        <v>525</v>
      </c>
      <c r="G29" s="4" t="s">
        <v>270</v>
      </c>
      <c r="H29" s="12"/>
      <c r="I29" s="4" t="s">
        <v>523</v>
      </c>
    </row>
  </sheetData>
  <dataValidations count="1">
    <dataValidation type="list" allowBlank="1" sqref="G2:G29">
      <formula1>"Not started,To research,Ready to apply,Applied,Assessment,Interview,Offer,Rejected,On hold"</formula1>
    </dataValidation>
  </dataValidations>
  <hyperlinks>
    <hyperlink ref="C2" r:id="rId1" display="https://careers.sabreailabs.in/opportunities"/>
    <hyperlink ref="C3" r:id="rId2" display="https://www.radialbrain.com/careers/"/>
    <hyperlink ref="C4" r:id="rId3" display="https://pritas.in/company/careers"/>
    <hyperlink ref="C5" r:id="rId4" display="https://astriziontechnologies.com/careers"/>
    <hyperlink ref="C6" r:id="rId5" display="https://www.globexcoders.in/careers"/>
    <hyperlink ref="C7" r:id="rId6" display="https://candidates.vibrantminds.in/campus-drives/detail.php?id=19"/>
    <hyperlink ref="C8" r:id="rId7" display="https://growifyindia.com/careers/react-native-intern-developer"/>
    <hyperlink ref="C9" r:id="rId8" display="https://careers.nexentia.in/"/>
    <hyperlink ref="C10" r:id="rId9" display="https://careers.microsoft.com/"/>
    <hyperlink ref="C11" r:id="rId10" display="https://www.amazon.jobs/"/>
    <hyperlink ref="C12" r:id="rId11" display="https://www.google.com/about/careers/applications/"/>
    <hyperlink ref="C13" r:id="rId12" display="https://careers.adobe.com/"/>
    <hyperlink ref="C14" r:id="rId13" display="https://www.accenture.com/in-en/careers"/>
    <hyperlink ref="C15" r:id="rId14" display="https://www.tcs.com/careers/india"/>
    <hyperlink ref="C16" r:id="rId15" display="https://www.infosys.com/careers/"/>
    <hyperlink ref="C17" r:id="rId16" display="https://careers.hcltech.com/"/>
    <hyperlink ref="C18" r:id="rId17" display="https://careers.wipro.com/"/>
    <hyperlink ref="C19" r:id="rId18" display="https://careers.cognizant.com/india-en/"/>
    <hyperlink ref="C20" r:id="rId19" display="https://www.zoho.com/careers.html"/>
    <hyperlink ref="C21" r:id="rId20" display="https://www.freshworks.com/company/careers/"/>
    <hyperlink ref="C22" r:id="rId21" display="https://razorpay.com/jobs/"/>
    <hyperlink ref="C23" r:id="rId22" display="https://www.phonepe.com/careers/"/>
    <hyperlink ref="C24" r:id="rId23" display="https://www.meesho.io/jobs"/>
    <hyperlink ref="C25" r:id="rId24" display="https://groww.in/careers"/>
    <hyperlink ref="C26" r:id="rId25" display="https://www.browserstack.com/careers/"/>
    <hyperlink ref="C27" r:id="rId26" display="https://www.postman.com/company/careers/"/>
    <hyperlink ref="C28" r:id="rId27" display="https://www.gnosify.in/careers"/>
    <hyperlink ref="C29" r:id="rId28" display="https://www.originsoftwares.com/careers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32" customWidth="1"/>
    <col min="2" max="2" width="45" customWidth="1"/>
    <col min="3" max="3" width="52" customWidth="1"/>
    <col min="4" max="4" width="58" customWidth="1"/>
    <col min="5" max="5" width="56" customWidth="1"/>
    <col min="6" max="6" width="46" customWidth="1"/>
  </cols>
  <sheetData>
    <row r="1" ht="36" customHeight="1" spans="1:6">
      <c r="A1" s="1" t="s">
        <v>594</v>
      </c>
      <c r="B1" s="1" t="s">
        <v>595</v>
      </c>
      <c r="C1" s="1" t="s">
        <v>596</v>
      </c>
      <c r="D1" s="1" t="s">
        <v>597</v>
      </c>
      <c r="E1" s="1" t="s">
        <v>598</v>
      </c>
      <c r="F1" s="1" t="s">
        <v>599</v>
      </c>
    </row>
    <row r="2" ht="75" customHeight="1" spans="1:6">
      <c r="A2" s="2" t="s">
        <v>600</v>
      </c>
      <c r="B2" s="2" t="s">
        <v>601</v>
      </c>
      <c r="C2" s="2" t="s">
        <v>602</v>
      </c>
      <c r="D2" s="2" t="s">
        <v>603</v>
      </c>
      <c r="E2" s="2" t="s">
        <v>604</v>
      </c>
      <c r="F2" s="2" t="s">
        <v>605</v>
      </c>
    </row>
    <row r="3" ht="75" customHeight="1" spans="1:6">
      <c r="A3" s="4" t="s">
        <v>606</v>
      </c>
      <c r="B3" s="4" t="s">
        <v>607</v>
      </c>
      <c r="C3" s="4" t="s">
        <v>608</v>
      </c>
      <c r="D3" s="4" t="s">
        <v>609</v>
      </c>
      <c r="E3" s="4" t="s">
        <v>610</v>
      </c>
      <c r="F3" s="4" t="s">
        <v>611</v>
      </c>
    </row>
    <row r="4" ht="75" customHeight="1" spans="1:6">
      <c r="A4" s="2" t="s">
        <v>612</v>
      </c>
      <c r="B4" s="2" t="s">
        <v>613</v>
      </c>
      <c r="C4" s="2" t="s">
        <v>614</v>
      </c>
      <c r="D4" s="2" t="s">
        <v>615</v>
      </c>
      <c r="E4" s="2" t="s">
        <v>616</v>
      </c>
      <c r="F4" s="2" t="s">
        <v>617</v>
      </c>
    </row>
    <row r="5" ht="75" customHeight="1" spans="1:6">
      <c r="A5" s="4" t="s">
        <v>618</v>
      </c>
      <c r="B5" s="4" t="s">
        <v>619</v>
      </c>
      <c r="C5" s="4" t="s">
        <v>620</v>
      </c>
      <c r="D5" s="4" t="s">
        <v>621</v>
      </c>
      <c r="E5" s="4" t="s">
        <v>622</v>
      </c>
      <c r="F5" s="4" t="s">
        <v>623</v>
      </c>
    </row>
    <row r="6" ht="75" customHeight="1" spans="1:6">
      <c r="A6" s="2" t="s">
        <v>624</v>
      </c>
      <c r="B6" s="2" t="s">
        <v>625</v>
      </c>
      <c r="C6" s="2" t="s">
        <v>626</v>
      </c>
      <c r="D6" s="2" t="s">
        <v>627</v>
      </c>
      <c r="E6" s="2" t="s">
        <v>628</v>
      </c>
      <c r="F6" s="2" t="s">
        <v>629</v>
      </c>
    </row>
    <row r="7" ht="75" customHeight="1" spans="1:6">
      <c r="A7" s="4" t="s">
        <v>630</v>
      </c>
      <c r="B7" s="4" t="s">
        <v>631</v>
      </c>
      <c r="C7" s="4" t="s">
        <v>632</v>
      </c>
      <c r="D7" s="4" t="s">
        <v>633</v>
      </c>
      <c r="E7" s="4" t="s">
        <v>634</v>
      </c>
      <c r="F7" s="4" t="s">
        <v>635</v>
      </c>
    </row>
    <row r="8" ht="75" customHeight="1" spans="1:6">
      <c r="A8" s="2" t="s">
        <v>636</v>
      </c>
      <c r="B8" s="2" t="s">
        <v>637</v>
      </c>
      <c r="C8" s="2" t="s">
        <v>638</v>
      </c>
      <c r="D8" s="2" t="s">
        <v>639</v>
      </c>
      <c r="E8" s="2" t="s">
        <v>640</v>
      </c>
      <c r="F8" s="2" t="s">
        <v>641</v>
      </c>
    </row>
    <row r="9" ht="75" customHeight="1" spans="1:6">
      <c r="A9" s="4" t="s">
        <v>642</v>
      </c>
      <c r="B9" s="4" t="s">
        <v>643</v>
      </c>
      <c r="C9" s="4" t="s">
        <v>644</v>
      </c>
      <c r="D9" s="4" t="s">
        <v>645</v>
      </c>
      <c r="E9" s="4" t="s">
        <v>646</v>
      </c>
      <c r="F9" s="4" t="s">
        <v>647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25" customWidth="1"/>
    <col min="3" max="3" width="36" customWidth="1"/>
    <col min="4" max="4" width="22" customWidth="1"/>
    <col min="5" max="6" width="18" customWidth="1"/>
    <col min="7" max="7" width="58" customWidth="1"/>
    <col min="8" max="9" width="48" customWidth="1"/>
    <col min="10" max="10" width="42" customWidth="1"/>
    <col min="11" max="11" width="16" customWidth="1"/>
    <col min="12" max="12" width="38" customWidth="1"/>
    <col min="13" max="13" width="32" customWidth="1"/>
    <col min="14" max="14" width="14" customWidth="1"/>
  </cols>
  <sheetData>
    <row r="1" ht="36" customHeight="1" spans="1:14">
      <c r="A1" s="1" t="s">
        <v>36</v>
      </c>
      <c r="B1" s="1" t="s">
        <v>40</v>
      </c>
      <c r="C1" s="1" t="s">
        <v>648</v>
      </c>
      <c r="D1" s="1" t="s">
        <v>42</v>
      </c>
      <c r="E1" s="1" t="s">
        <v>43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649</v>
      </c>
      <c r="M1" s="1" t="s">
        <v>650</v>
      </c>
      <c r="N1" s="6" t="s">
        <v>47</v>
      </c>
    </row>
    <row r="2" ht="66" customHeight="1" spans="1:14">
      <c r="A2" s="2" t="s">
        <v>651</v>
      </c>
      <c r="B2" s="2" t="s">
        <v>652</v>
      </c>
      <c r="C2" s="2" t="s">
        <v>653</v>
      </c>
      <c r="D2" s="2" t="s">
        <v>51</v>
      </c>
      <c r="E2" s="7" t="s">
        <v>25</v>
      </c>
      <c r="F2" s="2">
        <v>1</v>
      </c>
      <c r="G2" s="2" t="s">
        <v>654</v>
      </c>
      <c r="H2" s="2" t="s">
        <v>655</v>
      </c>
      <c r="I2" s="3" t="s">
        <v>121</v>
      </c>
      <c r="J2" s="2" t="s">
        <v>656</v>
      </c>
      <c r="K2" s="11"/>
      <c r="L2" s="2" t="s">
        <v>63</v>
      </c>
      <c r="M2" s="2" t="s">
        <v>63</v>
      </c>
      <c r="N2" s="8" t="s">
        <v>59</v>
      </c>
    </row>
    <row r="3" ht="66" customHeight="1" spans="1:14">
      <c r="A3" s="4" t="s">
        <v>651</v>
      </c>
      <c r="B3" s="4" t="s">
        <v>652</v>
      </c>
      <c r="C3" s="4" t="s">
        <v>657</v>
      </c>
      <c r="D3" s="4" t="s">
        <v>51</v>
      </c>
      <c r="E3" s="9" t="s">
        <v>25</v>
      </c>
      <c r="F3" s="4">
        <v>1</v>
      </c>
      <c r="G3" s="4" t="s">
        <v>658</v>
      </c>
      <c r="H3" s="4" t="s">
        <v>659</v>
      </c>
      <c r="I3" s="5" t="s">
        <v>660</v>
      </c>
      <c r="J3" s="4" t="s">
        <v>656</v>
      </c>
      <c r="K3" s="12"/>
      <c r="L3" s="4" t="s">
        <v>63</v>
      </c>
      <c r="M3" s="4" t="s">
        <v>63</v>
      </c>
      <c r="N3" s="8" t="s">
        <v>59</v>
      </c>
    </row>
    <row r="4" ht="66" customHeight="1" spans="1:14">
      <c r="A4" s="2" t="s">
        <v>651</v>
      </c>
      <c r="B4" s="2" t="s">
        <v>652</v>
      </c>
      <c r="C4" s="2" t="s">
        <v>661</v>
      </c>
      <c r="D4" s="2" t="s">
        <v>51</v>
      </c>
      <c r="E4" s="7" t="s">
        <v>25</v>
      </c>
      <c r="F4" s="2">
        <v>1</v>
      </c>
      <c r="G4" s="2" t="s">
        <v>662</v>
      </c>
      <c r="H4" s="2" t="s">
        <v>663</v>
      </c>
      <c r="I4" s="3" t="s">
        <v>664</v>
      </c>
      <c r="J4" s="2" t="s">
        <v>656</v>
      </c>
      <c r="K4" s="11"/>
      <c r="L4" s="2" t="s">
        <v>63</v>
      </c>
      <c r="M4" s="2" t="s">
        <v>63</v>
      </c>
      <c r="N4" s="8" t="s">
        <v>59</v>
      </c>
    </row>
    <row r="5" ht="66" customHeight="1" spans="1:14">
      <c r="A5" s="4" t="s">
        <v>651</v>
      </c>
      <c r="B5" s="4" t="s">
        <v>665</v>
      </c>
      <c r="C5" s="4" t="s">
        <v>56</v>
      </c>
      <c r="D5" s="4" t="s">
        <v>51</v>
      </c>
      <c r="E5" s="9" t="s">
        <v>25</v>
      </c>
      <c r="F5" s="4">
        <v>1</v>
      </c>
      <c r="G5" s="4" t="s">
        <v>666</v>
      </c>
      <c r="H5" s="4" t="s">
        <v>667</v>
      </c>
      <c r="I5" s="5" t="s">
        <v>58</v>
      </c>
      <c r="J5" s="4" t="s">
        <v>656</v>
      </c>
      <c r="K5" s="12"/>
      <c r="L5" s="4" t="s">
        <v>63</v>
      </c>
      <c r="M5" s="4" t="s">
        <v>63</v>
      </c>
      <c r="N5" s="8" t="s">
        <v>59</v>
      </c>
    </row>
    <row r="6" ht="66" customHeight="1" spans="1:14">
      <c r="A6" s="2" t="s">
        <v>651</v>
      </c>
      <c r="B6" s="2" t="s">
        <v>665</v>
      </c>
      <c r="C6" s="2" t="s">
        <v>668</v>
      </c>
      <c r="D6" s="2" t="s">
        <v>51</v>
      </c>
      <c r="E6" s="7" t="s">
        <v>25</v>
      </c>
      <c r="F6" s="2">
        <v>1</v>
      </c>
      <c r="G6" s="2" t="s">
        <v>669</v>
      </c>
      <c r="H6" s="2" t="s">
        <v>670</v>
      </c>
      <c r="I6" s="3" t="s">
        <v>671</v>
      </c>
      <c r="J6" s="2" t="s">
        <v>656</v>
      </c>
      <c r="K6" s="11"/>
      <c r="L6" s="2" t="s">
        <v>63</v>
      </c>
      <c r="M6" s="2" t="s">
        <v>63</v>
      </c>
      <c r="N6" s="8" t="s">
        <v>59</v>
      </c>
    </row>
    <row r="7" ht="66" customHeight="1" spans="1:14">
      <c r="A7" s="4" t="s">
        <v>651</v>
      </c>
      <c r="B7" s="4" t="s">
        <v>672</v>
      </c>
      <c r="C7" s="4" t="s">
        <v>673</v>
      </c>
      <c r="D7" s="4" t="s">
        <v>51</v>
      </c>
      <c r="E7" s="9" t="s">
        <v>25</v>
      </c>
      <c r="F7" s="4">
        <v>1</v>
      </c>
      <c r="G7" s="4" t="s">
        <v>674</v>
      </c>
      <c r="H7" s="4" t="s">
        <v>675</v>
      </c>
      <c r="I7" s="5" t="s">
        <v>676</v>
      </c>
      <c r="J7" s="4" t="s">
        <v>656</v>
      </c>
      <c r="K7" s="12"/>
      <c r="L7" s="4" t="s">
        <v>63</v>
      </c>
      <c r="M7" s="4" t="s">
        <v>63</v>
      </c>
      <c r="N7" s="8" t="s">
        <v>59</v>
      </c>
    </row>
    <row r="8" ht="66" customHeight="1" spans="1:14">
      <c r="A8" s="2" t="s">
        <v>651</v>
      </c>
      <c r="B8" s="2" t="s">
        <v>672</v>
      </c>
      <c r="C8" s="2" t="s">
        <v>677</v>
      </c>
      <c r="D8" s="2" t="s">
        <v>86</v>
      </c>
      <c r="E8" s="7" t="s">
        <v>25</v>
      </c>
      <c r="F8" s="2">
        <v>1</v>
      </c>
      <c r="G8" s="2" t="s">
        <v>678</v>
      </c>
      <c r="H8" s="2" t="s">
        <v>679</v>
      </c>
      <c r="I8" s="3" t="s">
        <v>680</v>
      </c>
      <c r="J8" s="2" t="s">
        <v>656</v>
      </c>
      <c r="K8" s="11"/>
      <c r="L8" s="2" t="s">
        <v>63</v>
      </c>
      <c r="M8" s="2" t="s">
        <v>63</v>
      </c>
      <c r="N8" s="8" t="s">
        <v>59</v>
      </c>
    </row>
    <row r="9" ht="66" customHeight="1" spans="1:14">
      <c r="A9" s="4" t="s">
        <v>260</v>
      </c>
      <c r="B9" s="4" t="s">
        <v>681</v>
      </c>
      <c r="C9" s="4" t="s">
        <v>123</v>
      </c>
      <c r="D9" s="4" t="s">
        <v>51</v>
      </c>
      <c r="E9" s="9" t="s">
        <v>25</v>
      </c>
      <c r="F9" s="4">
        <v>1</v>
      </c>
      <c r="G9" s="4" t="s">
        <v>682</v>
      </c>
      <c r="H9" s="4" t="s">
        <v>683</v>
      </c>
      <c r="I9" s="5" t="s">
        <v>125</v>
      </c>
      <c r="J9" s="4" t="s">
        <v>656</v>
      </c>
      <c r="K9" s="12"/>
      <c r="L9" s="4" t="s">
        <v>63</v>
      </c>
      <c r="M9" s="4" t="s">
        <v>63</v>
      </c>
      <c r="N9" s="8" t="s">
        <v>59</v>
      </c>
    </row>
    <row r="10" ht="66" customHeight="1" spans="1:14">
      <c r="A10" s="2" t="s">
        <v>260</v>
      </c>
      <c r="B10" s="2" t="s">
        <v>681</v>
      </c>
      <c r="C10" s="2" t="s">
        <v>126</v>
      </c>
      <c r="D10" s="2" t="s">
        <v>51</v>
      </c>
      <c r="E10" s="7" t="s">
        <v>25</v>
      </c>
      <c r="F10" s="2">
        <v>1</v>
      </c>
      <c r="G10" s="2" t="s">
        <v>684</v>
      </c>
      <c r="H10" s="2" t="s">
        <v>685</v>
      </c>
      <c r="I10" s="3" t="s">
        <v>128</v>
      </c>
      <c r="J10" s="2" t="s">
        <v>656</v>
      </c>
      <c r="K10" s="11"/>
      <c r="L10" s="2" t="s">
        <v>63</v>
      </c>
      <c r="M10" s="2" t="s">
        <v>63</v>
      </c>
      <c r="N10" s="8" t="s">
        <v>59</v>
      </c>
    </row>
    <row r="11" ht="66" customHeight="1" spans="1:14">
      <c r="A11" s="4" t="s">
        <v>260</v>
      </c>
      <c r="B11" s="4" t="s">
        <v>686</v>
      </c>
      <c r="C11" s="4" t="s">
        <v>687</v>
      </c>
      <c r="D11" s="4" t="s">
        <v>51</v>
      </c>
      <c r="E11" s="9" t="s">
        <v>25</v>
      </c>
      <c r="F11" s="4">
        <v>1</v>
      </c>
      <c r="G11" s="4" t="s">
        <v>688</v>
      </c>
      <c r="H11" s="4" t="s">
        <v>689</v>
      </c>
      <c r="I11" s="5" t="s">
        <v>690</v>
      </c>
      <c r="J11" s="4" t="s">
        <v>656</v>
      </c>
      <c r="K11" s="12"/>
      <c r="L11" s="4" t="s">
        <v>63</v>
      </c>
      <c r="M11" s="4" t="s">
        <v>63</v>
      </c>
      <c r="N11" s="8" t="s">
        <v>59</v>
      </c>
    </row>
    <row r="12" ht="66" customHeight="1" spans="1:14">
      <c r="A12" s="2" t="s">
        <v>260</v>
      </c>
      <c r="B12" s="2" t="s">
        <v>686</v>
      </c>
      <c r="C12" s="2" t="s">
        <v>691</v>
      </c>
      <c r="D12" s="2" t="s">
        <v>51</v>
      </c>
      <c r="E12" s="7" t="s">
        <v>25</v>
      </c>
      <c r="F12" s="2">
        <v>1</v>
      </c>
      <c r="G12" s="2" t="s">
        <v>692</v>
      </c>
      <c r="H12" s="2" t="s">
        <v>693</v>
      </c>
      <c r="I12" s="3" t="s">
        <v>131</v>
      </c>
      <c r="J12" s="2" t="s">
        <v>656</v>
      </c>
      <c r="K12" s="11"/>
      <c r="L12" s="2" t="s">
        <v>63</v>
      </c>
      <c r="M12" s="2" t="s">
        <v>63</v>
      </c>
      <c r="N12" s="8" t="s">
        <v>59</v>
      </c>
    </row>
    <row r="13" ht="66" customHeight="1" spans="1:14">
      <c r="A13" s="4" t="s">
        <v>260</v>
      </c>
      <c r="B13" s="4" t="s">
        <v>686</v>
      </c>
      <c r="C13" s="4" t="s">
        <v>132</v>
      </c>
      <c r="D13" s="4" t="s">
        <v>51</v>
      </c>
      <c r="E13" s="9" t="s">
        <v>25</v>
      </c>
      <c r="F13" s="4">
        <v>1</v>
      </c>
      <c r="G13" s="4" t="s">
        <v>694</v>
      </c>
      <c r="H13" s="4" t="s">
        <v>695</v>
      </c>
      <c r="I13" s="5" t="s">
        <v>696</v>
      </c>
      <c r="J13" s="4" t="s">
        <v>656</v>
      </c>
      <c r="K13" s="12"/>
      <c r="L13" s="4" t="s">
        <v>63</v>
      </c>
      <c r="M13" s="4" t="s">
        <v>63</v>
      </c>
      <c r="N13" s="8" t="s">
        <v>59</v>
      </c>
    </row>
    <row r="14" ht="66" customHeight="1" spans="1:14">
      <c r="A14" s="2" t="s">
        <v>260</v>
      </c>
      <c r="B14" s="2" t="s">
        <v>697</v>
      </c>
      <c r="C14" s="2" t="s">
        <v>136</v>
      </c>
      <c r="D14" s="2" t="s">
        <v>51</v>
      </c>
      <c r="E14" s="7" t="s">
        <v>25</v>
      </c>
      <c r="F14" s="2">
        <v>1</v>
      </c>
      <c r="G14" s="2" t="s">
        <v>698</v>
      </c>
      <c r="H14" s="2" t="s">
        <v>699</v>
      </c>
      <c r="I14" s="3" t="s">
        <v>700</v>
      </c>
      <c r="J14" s="2" t="s">
        <v>656</v>
      </c>
      <c r="K14" s="11"/>
      <c r="L14" s="2" t="s">
        <v>63</v>
      </c>
      <c r="M14" s="2" t="s">
        <v>63</v>
      </c>
      <c r="N14" s="8" t="s">
        <v>59</v>
      </c>
    </row>
    <row r="15" ht="66" customHeight="1" spans="1:14">
      <c r="A15" s="4" t="s">
        <v>260</v>
      </c>
      <c r="B15" s="4" t="s">
        <v>697</v>
      </c>
      <c r="C15" s="4" t="s">
        <v>139</v>
      </c>
      <c r="D15" s="4" t="s">
        <v>51</v>
      </c>
      <c r="E15" s="9" t="s">
        <v>25</v>
      </c>
      <c r="F15" s="4">
        <v>1</v>
      </c>
      <c r="G15" s="4" t="s">
        <v>701</v>
      </c>
      <c r="H15" s="4" t="s">
        <v>702</v>
      </c>
      <c r="I15" s="5" t="s">
        <v>703</v>
      </c>
      <c r="J15" s="4" t="s">
        <v>656</v>
      </c>
      <c r="K15" s="12"/>
      <c r="L15" s="4" t="s">
        <v>63</v>
      </c>
      <c r="M15" s="4" t="s">
        <v>63</v>
      </c>
      <c r="N15" s="8" t="s">
        <v>59</v>
      </c>
    </row>
    <row r="16" ht="66" customHeight="1" spans="1:14">
      <c r="A16" s="2" t="s">
        <v>260</v>
      </c>
      <c r="B16" s="2" t="s">
        <v>697</v>
      </c>
      <c r="C16" s="2" t="s">
        <v>704</v>
      </c>
      <c r="D16" s="2" t="s">
        <v>51</v>
      </c>
      <c r="E16" s="7" t="s">
        <v>25</v>
      </c>
      <c r="F16" s="2">
        <v>1</v>
      </c>
      <c r="G16" s="2" t="s">
        <v>705</v>
      </c>
      <c r="H16" s="2" t="s">
        <v>706</v>
      </c>
      <c r="I16" s="3" t="s">
        <v>707</v>
      </c>
      <c r="J16" s="2" t="s">
        <v>656</v>
      </c>
      <c r="K16" s="11"/>
      <c r="L16" s="2" t="s">
        <v>63</v>
      </c>
      <c r="M16" s="2" t="s">
        <v>63</v>
      </c>
      <c r="N16" s="8" t="s">
        <v>59</v>
      </c>
    </row>
    <row r="17" ht="66" customHeight="1" spans="1:14">
      <c r="A17" s="4" t="s">
        <v>260</v>
      </c>
      <c r="B17" s="4" t="s">
        <v>697</v>
      </c>
      <c r="C17" s="4" t="s">
        <v>708</v>
      </c>
      <c r="D17" s="4" t="s">
        <v>51</v>
      </c>
      <c r="E17" s="9" t="s">
        <v>25</v>
      </c>
      <c r="F17" s="4">
        <v>1</v>
      </c>
      <c r="G17" s="4" t="s">
        <v>709</v>
      </c>
      <c r="H17" s="4" t="s">
        <v>710</v>
      </c>
      <c r="I17" s="5" t="s">
        <v>711</v>
      </c>
      <c r="J17" s="4" t="s">
        <v>656</v>
      </c>
      <c r="K17" s="12"/>
      <c r="L17" s="4" t="s">
        <v>63</v>
      </c>
      <c r="M17" s="4" t="s">
        <v>63</v>
      </c>
      <c r="N17" s="8" t="s">
        <v>59</v>
      </c>
    </row>
    <row r="18" ht="66" customHeight="1" spans="1:14">
      <c r="A18" s="2" t="s">
        <v>260</v>
      </c>
      <c r="B18" s="2" t="s">
        <v>697</v>
      </c>
      <c r="C18" s="2" t="s">
        <v>712</v>
      </c>
      <c r="D18" s="2" t="s">
        <v>51</v>
      </c>
      <c r="E18" s="7" t="s">
        <v>25</v>
      </c>
      <c r="F18" s="2">
        <v>1</v>
      </c>
      <c r="G18" s="2" t="s">
        <v>713</v>
      </c>
      <c r="H18" s="2" t="s">
        <v>714</v>
      </c>
      <c r="I18" s="3" t="s">
        <v>715</v>
      </c>
      <c r="J18" s="2" t="s">
        <v>656</v>
      </c>
      <c r="K18" s="11"/>
      <c r="L18" s="2" t="s">
        <v>63</v>
      </c>
      <c r="M18" s="2" t="s">
        <v>63</v>
      </c>
      <c r="N18" s="8" t="s">
        <v>59</v>
      </c>
    </row>
    <row r="19" ht="66" customHeight="1" spans="1:14">
      <c r="A19" s="4" t="s">
        <v>260</v>
      </c>
      <c r="B19" s="4" t="s">
        <v>697</v>
      </c>
      <c r="C19" s="4" t="s">
        <v>716</v>
      </c>
      <c r="D19" s="4" t="s">
        <v>86</v>
      </c>
      <c r="E19" s="9" t="s">
        <v>25</v>
      </c>
      <c r="F19" s="4">
        <v>1</v>
      </c>
      <c r="G19" s="4" t="s">
        <v>717</v>
      </c>
      <c r="H19" s="4" t="s">
        <v>718</v>
      </c>
      <c r="I19" s="5" t="s">
        <v>719</v>
      </c>
      <c r="J19" s="4" t="s">
        <v>656</v>
      </c>
      <c r="K19" s="12"/>
      <c r="L19" s="4" t="s">
        <v>63</v>
      </c>
      <c r="M19" s="4" t="s">
        <v>63</v>
      </c>
      <c r="N19" s="8" t="s">
        <v>59</v>
      </c>
    </row>
    <row r="20" ht="66" customHeight="1" spans="1:14">
      <c r="A20" s="2" t="s">
        <v>260</v>
      </c>
      <c r="B20" s="2" t="s">
        <v>149</v>
      </c>
      <c r="C20" s="2" t="s">
        <v>150</v>
      </c>
      <c r="D20" s="2" t="s">
        <v>720</v>
      </c>
      <c r="E20" s="7" t="s">
        <v>25</v>
      </c>
      <c r="F20" s="2">
        <v>1</v>
      </c>
      <c r="G20" s="2" t="s">
        <v>721</v>
      </c>
      <c r="H20" s="2" t="s">
        <v>722</v>
      </c>
      <c r="I20" s="3" t="s">
        <v>723</v>
      </c>
      <c r="J20" s="2" t="s">
        <v>656</v>
      </c>
      <c r="K20" s="11"/>
      <c r="L20" s="2" t="s">
        <v>63</v>
      </c>
      <c r="M20" s="2" t="s">
        <v>63</v>
      </c>
      <c r="N20" s="8" t="s">
        <v>59</v>
      </c>
    </row>
    <row r="21" ht="66" customHeight="1" spans="1:14">
      <c r="A21" s="4" t="s">
        <v>260</v>
      </c>
      <c r="B21" s="4" t="s">
        <v>149</v>
      </c>
      <c r="C21" s="4" t="s">
        <v>724</v>
      </c>
      <c r="D21" s="4" t="s">
        <v>725</v>
      </c>
      <c r="E21" s="9" t="s">
        <v>25</v>
      </c>
      <c r="F21" s="4">
        <v>1</v>
      </c>
      <c r="G21" s="4" t="s">
        <v>726</v>
      </c>
      <c r="H21" s="4" t="s">
        <v>727</v>
      </c>
      <c r="I21" s="5" t="s">
        <v>156</v>
      </c>
      <c r="J21" s="4" t="s">
        <v>656</v>
      </c>
      <c r="K21" s="12"/>
      <c r="L21" s="4" t="s">
        <v>63</v>
      </c>
      <c r="M21" s="4" t="s">
        <v>63</v>
      </c>
      <c r="N21" s="8" t="s">
        <v>59</v>
      </c>
    </row>
    <row r="22" ht="66" customHeight="1" spans="1:14">
      <c r="A22" s="2" t="s">
        <v>260</v>
      </c>
      <c r="B22" s="2" t="s">
        <v>149</v>
      </c>
      <c r="C22" s="2" t="s">
        <v>728</v>
      </c>
      <c r="D22" s="2" t="s">
        <v>729</v>
      </c>
      <c r="E22" s="7" t="s">
        <v>25</v>
      </c>
      <c r="F22" s="2">
        <v>1</v>
      </c>
      <c r="G22" s="2" t="s">
        <v>730</v>
      </c>
      <c r="H22" s="2" t="s">
        <v>731</v>
      </c>
      <c r="I22" s="3" t="s">
        <v>732</v>
      </c>
      <c r="J22" s="2" t="s">
        <v>656</v>
      </c>
      <c r="K22" s="11"/>
      <c r="L22" s="2" t="s">
        <v>63</v>
      </c>
      <c r="M22" s="2" t="s">
        <v>63</v>
      </c>
      <c r="N22" s="8" t="s">
        <v>59</v>
      </c>
    </row>
    <row r="23" ht="66" customHeight="1" spans="1:14">
      <c r="A23" s="4" t="s">
        <v>260</v>
      </c>
      <c r="B23" s="4" t="s">
        <v>149</v>
      </c>
      <c r="C23" s="4" t="s">
        <v>733</v>
      </c>
      <c r="D23" s="4" t="s">
        <v>151</v>
      </c>
      <c r="E23" s="9" t="s">
        <v>25</v>
      </c>
      <c r="F23" s="4">
        <v>1</v>
      </c>
      <c r="G23" s="4" t="s">
        <v>734</v>
      </c>
      <c r="H23" s="4" t="s">
        <v>735</v>
      </c>
      <c r="I23" s="5" t="s">
        <v>736</v>
      </c>
      <c r="J23" s="4" t="s">
        <v>656</v>
      </c>
      <c r="K23" s="12"/>
      <c r="L23" s="4" t="s">
        <v>63</v>
      </c>
      <c r="M23" s="4" t="s">
        <v>63</v>
      </c>
      <c r="N23" s="8" t="s">
        <v>59</v>
      </c>
    </row>
    <row r="24" ht="66" customHeight="1" spans="1:14">
      <c r="A24" s="2" t="s">
        <v>260</v>
      </c>
      <c r="B24" s="2" t="s">
        <v>149</v>
      </c>
      <c r="C24" s="2" t="s">
        <v>737</v>
      </c>
      <c r="D24" s="2" t="s">
        <v>738</v>
      </c>
      <c r="E24" s="7" t="s">
        <v>25</v>
      </c>
      <c r="F24" s="2">
        <v>1</v>
      </c>
      <c r="G24" s="2" t="s">
        <v>739</v>
      </c>
      <c r="H24" s="2" t="s">
        <v>740</v>
      </c>
      <c r="I24" s="3" t="s">
        <v>161</v>
      </c>
      <c r="J24" s="2" t="s">
        <v>656</v>
      </c>
      <c r="K24" s="11"/>
      <c r="L24" s="2" t="s">
        <v>63</v>
      </c>
      <c r="M24" s="2" t="s">
        <v>63</v>
      </c>
      <c r="N24" s="8" t="s">
        <v>59</v>
      </c>
    </row>
    <row r="25" ht="66" customHeight="1" spans="1:14">
      <c r="A25" s="4" t="s">
        <v>260</v>
      </c>
      <c r="B25" s="4" t="s">
        <v>149</v>
      </c>
      <c r="C25" s="4" t="s">
        <v>741</v>
      </c>
      <c r="D25" s="4" t="s">
        <v>742</v>
      </c>
      <c r="E25" s="9" t="s">
        <v>25</v>
      </c>
      <c r="F25" s="4">
        <v>1</v>
      </c>
      <c r="G25" s="4" t="s">
        <v>743</v>
      </c>
      <c r="H25" s="4" t="s">
        <v>744</v>
      </c>
      <c r="I25" s="5" t="s">
        <v>161</v>
      </c>
      <c r="J25" s="4" t="s">
        <v>656</v>
      </c>
      <c r="K25" s="12"/>
      <c r="L25" s="4" t="s">
        <v>63</v>
      </c>
      <c r="M25" s="4" t="s">
        <v>63</v>
      </c>
      <c r="N25" s="8" t="s">
        <v>59</v>
      </c>
    </row>
    <row r="26" ht="66" customHeight="1" spans="1:14">
      <c r="A26" s="2" t="s">
        <v>260</v>
      </c>
      <c r="B26" s="2" t="s">
        <v>745</v>
      </c>
      <c r="C26" s="2" t="s">
        <v>746</v>
      </c>
      <c r="D26" s="2" t="s">
        <v>747</v>
      </c>
      <c r="E26" s="7" t="s">
        <v>25</v>
      </c>
      <c r="F26" s="2">
        <v>1</v>
      </c>
      <c r="G26" s="2" t="s">
        <v>748</v>
      </c>
      <c r="H26" s="2" t="s">
        <v>749</v>
      </c>
      <c r="I26" s="3" t="s">
        <v>750</v>
      </c>
      <c r="J26" s="2" t="s">
        <v>656</v>
      </c>
      <c r="K26" s="11"/>
      <c r="L26" s="2" t="s">
        <v>63</v>
      </c>
      <c r="M26" s="2" t="s">
        <v>63</v>
      </c>
      <c r="N26" s="8" t="s">
        <v>59</v>
      </c>
    </row>
    <row r="27" ht="66" customHeight="1" spans="1:14">
      <c r="A27" s="4" t="s">
        <v>260</v>
      </c>
      <c r="B27" s="4" t="s">
        <v>745</v>
      </c>
      <c r="C27" s="4" t="s">
        <v>751</v>
      </c>
      <c r="D27" s="4" t="s">
        <v>86</v>
      </c>
      <c r="E27" s="9" t="s">
        <v>25</v>
      </c>
      <c r="F27" s="4">
        <v>1</v>
      </c>
      <c r="G27" s="4" t="s">
        <v>752</v>
      </c>
      <c r="H27" s="4" t="s">
        <v>753</v>
      </c>
      <c r="I27" s="5" t="s">
        <v>754</v>
      </c>
      <c r="J27" s="4" t="s">
        <v>656</v>
      </c>
      <c r="K27" s="12"/>
      <c r="L27" s="4" t="s">
        <v>63</v>
      </c>
      <c r="M27" s="4" t="s">
        <v>63</v>
      </c>
      <c r="N27" s="8" t="s">
        <v>59</v>
      </c>
    </row>
    <row r="28" ht="66" customHeight="1" spans="1:14">
      <c r="A28" s="2" t="s">
        <v>260</v>
      </c>
      <c r="B28" s="2" t="s">
        <v>745</v>
      </c>
      <c r="C28" s="2" t="s">
        <v>755</v>
      </c>
      <c r="D28" s="2" t="s">
        <v>86</v>
      </c>
      <c r="E28" s="7" t="s">
        <v>25</v>
      </c>
      <c r="F28" s="2">
        <v>1</v>
      </c>
      <c r="G28" s="2" t="s">
        <v>756</v>
      </c>
      <c r="H28" s="2" t="s">
        <v>757</v>
      </c>
      <c r="I28" s="3" t="s">
        <v>750</v>
      </c>
      <c r="J28" s="2" t="s">
        <v>656</v>
      </c>
      <c r="K28" s="11"/>
      <c r="L28" s="2" t="s">
        <v>63</v>
      </c>
      <c r="M28" s="2" t="s">
        <v>63</v>
      </c>
      <c r="N28" s="8" t="s">
        <v>59</v>
      </c>
    </row>
    <row r="29" ht="66" customHeight="1" spans="1:14">
      <c r="A29" s="4" t="s">
        <v>260</v>
      </c>
      <c r="B29" s="4" t="s">
        <v>745</v>
      </c>
      <c r="C29" s="4" t="s">
        <v>758</v>
      </c>
      <c r="D29" s="4" t="s">
        <v>51</v>
      </c>
      <c r="E29" s="9" t="s">
        <v>25</v>
      </c>
      <c r="F29" s="4">
        <v>1</v>
      </c>
      <c r="G29" s="4" t="s">
        <v>759</v>
      </c>
      <c r="H29" s="4" t="s">
        <v>760</v>
      </c>
      <c r="I29" s="5" t="s">
        <v>761</v>
      </c>
      <c r="J29" s="4" t="s">
        <v>656</v>
      </c>
      <c r="K29" s="12"/>
      <c r="L29" s="4" t="s">
        <v>63</v>
      </c>
      <c r="M29" s="4" t="s">
        <v>63</v>
      </c>
      <c r="N29" s="8" t="s">
        <v>59</v>
      </c>
    </row>
    <row r="30" ht="66" customHeight="1" spans="1:14">
      <c r="A30" s="2" t="s">
        <v>260</v>
      </c>
      <c r="B30" s="2" t="s">
        <v>745</v>
      </c>
      <c r="C30" s="2" t="s">
        <v>762</v>
      </c>
      <c r="D30" s="2" t="s">
        <v>763</v>
      </c>
      <c r="E30" s="7" t="s">
        <v>25</v>
      </c>
      <c r="F30" s="2">
        <v>1</v>
      </c>
      <c r="G30" s="2" t="s">
        <v>764</v>
      </c>
      <c r="H30" s="2" t="s">
        <v>765</v>
      </c>
      <c r="I30" s="3" t="s">
        <v>766</v>
      </c>
      <c r="J30" s="2" t="s">
        <v>656</v>
      </c>
      <c r="K30" s="11"/>
      <c r="L30" s="2" t="s">
        <v>63</v>
      </c>
      <c r="M30" s="2" t="s">
        <v>63</v>
      </c>
      <c r="N30" s="8" t="s">
        <v>59</v>
      </c>
    </row>
    <row r="31" ht="66" customHeight="1" spans="1:14">
      <c r="A31" s="4" t="s">
        <v>260</v>
      </c>
      <c r="B31" s="4" t="s">
        <v>745</v>
      </c>
      <c r="C31" s="4" t="s">
        <v>767</v>
      </c>
      <c r="D31" s="4" t="s">
        <v>768</v>
      </c>
      <c r="E31" s="9" t="s">
        <v>25</v>
      </c>
      <c r="F31" s="4">
        <v>1</v>
      </c>
      <c r="G31" s="4" t="s">
        <v>769</v>
      </c>
      <c r="H31" s="4" t="s">
        <v>770</v>
      </c>
      <c r="I31" s="5" t="s">
        <v>771</v>
      </c>
      <c r="J31" s="4" t="s">
        <v>656</v>
      </c>
      <c r="K31" s="12"/>
      <c r="L31" s="4" t="s">
        <v>63</v>
      </c>
      <c r="M31" s="4" t="s">
        <v>63</v>
      </c>
      <c r="N31" s="8" t="s">
        <v>59</v>
      </c>
    </row>
    <row r="32" ht="66" customHeight="1" spans="1:14">
      <c r="A32" s="2" t="s">
        <v>260</v>
      </c>
      <c r="B32" s="2" t="s">
        <v>772</v>
      </c>
      <c r="C32" s="2" t="s">
        <v>773</v>
      </c>
      <c r="D32" s="2" t="s">
        <v>774</v>
      </c>
      <c r="E32" s="7" t="s">
        <v>25</v>
      </c>
      <c r="F32" s="2">
        <v>1</v>
      </c>
      <c r="G32" s="2" t="s">
        <v>775</v>
      </c>
      <c r="H32" s="2" t="s">
        <v>776</v>
      </c>
      <c r="I32" s="3" t="s">
        <v>777</v>
      </c>
      <c r="J32" s="2" t="s">
        <v>656</v>
      </c>
      <c r="K32" s="11"/>
      <c r="L32" s="2" t="s">
        <v>63</v>
      </c>
      <c r="M32" s="2" t="s">
        <v>63</v>
      </c>
      <c r="N32" s="8" t="s">
        <v>59</v>
      </c>
    </row>
    <row r="33" ht="66" customHeight="1" spans="1:14">
      <c r="A33" s="4" t="s">
        <v>260</v>
      </c>
      <c r="B33" s="4" t="s">
        <v>772</v>
      </c>
      <c r="C33" s="4" t="s">
        <v>778</v>
      </c>
      <c r="D33" s="4" t="s">
        <v>51</v>
      </c>
      <c r="E33" s="9" t="s">
        <v>25</v>
      </c>
      <c r="F33" s="4">
        <v>1</v>
      </c>
      <c r="G33" s="4" t="s">
        <v>779</v>
      </c>
      <c r="H33" s="4" t="s">
        <v>780</v>
      </c>
      <c r="I33" s="5" t="s">
        <v>781</v>
      </c>
      <c r="J33" s="4" t="s">
        <v>656</v>
      </c>
      <c r="K33" s="12"/>
      <c r="L33" s="4" t="s">
        <v>63</v>
      </c>
      <c r="M33" s="4" t="s">
        <v>63</v>
      </c>
      <c r="N33" s="8" t="s">
        <v>59</v>
      </c>
    </row>
    <row r="34" ht="66" customHeight="1" spans="1:14">
      <c r="A34" s="2" t="s">
        <v>260</v>
      </c>
      <c r="B34" s="2" t="s">
        <v>772</v>
      </c>
      <c r="C34" s="2" t="s">
        <v>782</v>
      </c>
      <c r="D34" s="2" t="s">
        <v>51</v>
      </c>
      <c r="E34" s="7" t="s">
        <v>25</v>
      </c>
      <c r="F34" s="2">
        <v>1</v>
      </c>
      <c r="G34" s="2" t="s">
        <v>783</v>
      </c>
      <c r="H34" s="2" t="s">
        <v>784</v>
      </c>
      <c r="I34" s="3" t="s">
        <v>785</v>
      </c>
      <c r="J34" s="2" t="s">
        <v>656</v>
      </c>
      <c r="K34" s="11"/>
      <c r="L34" s="2" t="s">
        <v>63</v>
      </c>
      <c r="M34" s="2" t="s">
        <v>63</v>
      </c>
      <c r="N34" s="8" t="s">
        <v>59</v>
      </c>
    </row>
    <row r="35" ht="66" customHeight="1" spans="1:14">
      <c r="A35" s="4" t="s">
        <v>260</v>
      </c>
      <c r="B35" s="4" t="s">
        <v>772</v>
      </c>
      <c r="C35" s="4" t="s">
        <v>786</v>
      </c>
      <c r="D35" s="4" t="s">
        <v>787</v>
      </c>
      <c r="E35" s="9" t="s">
        <v>25</v>
      </c>
      <c r="F35" s="4">
        <v>1</v>
      </c>
      <c r="G35" s="4" t="s">
        <v>788</v>
      </c>
      <c r="H35" s="4" t="s">
        <v>789</v>
      </c>
      <c r="I35" s="5" t="s">
        <v>790</v>
      </c>
      <c r="J35" s="4" t="s">
        <v>656</v>
      </c>
      <c r="K35" s="12"/>
      <c r="L35" s="4" t="s">
        <v>63</v>
      </c>
      <c r="M35" s="4" t="s">
        <v>63</v>
      </c>
      <c r="N35" s="8" t="s">
        <v>59</v>
      </c>
    </row>
    <row r="36" ht="66" customHeight="1" spans="1:14">
      <c r="A36" s="2" t="s">
        <v>260</v>
      </c>
      <c r="B36" s="2" t="s">
        <v>772</v>
      </c>
      <c r="C36" s="2" t="s">
        <v>791</v>
      </c>
      <c r="D36" s="2" t="s">
        <v>792</v>
      </c>
      <c r="E36" s="7" t="s">
        <v>25</v>
      </c>
      <c r="F36" s="2">
        <v>1</v>
      </c>
      <c r="G36" s="2" t="s">
        <v>793</v>
      </c>
      <c r="H36" s="2" t="s">
        <v>794</v>
      </c>
      <c r="I36" s="3" t="s">
        <v>795</v>
      </c>
      <c r="J36" s="2" t="s">
        <v>656</v>
      </c>
      <c r="K36" s="11"/>
      <c r="L36" s="2" t="s">
        <v>63</v>
      </c>
      <c r="M36" s="2" t="s">
        <v>63</v>
      </c>
      <c r="N36" s="8" t="s">
        <v>59</v>
      </c>
    </row>
    <row r="37" ht="66" customHeight="1" spans="1:14">
      <c r="A37" s="4" t="s">
        <v>260</v>
      </c>
      <c r="B37" s="4" t="s">
        <v>796</v>
      </c>
      <c r="C37" s="4" t="s">
        <v>797</v>
      </c>
      <c r="D37" s="4" t="s">
        <v>86</v>
      </c>
      <c r="E37" s="9" t="s">
        <v>25</v>
      </c>
      <c r="F37" s="4">
        <v>1</v>
      </c>
      <c r="G37" s="4" t="s">
        <v>798</v>
      </c>
      <c r="H37" s="4" t="s">
        <v>799</v>
      </c>
      <c r="I37" s="5" t="s">
        <v>781</v>
      </c>
      <c r="J37" s="4" t="s">
        <v>656</v>
      </c>
      <c r="K37" s="12"/>
      <c r="L37" s="4" t="s">
        <v>63</v>
      </c>
      <c r="M37" s="4" t="s">
        <v>63</v>
      </c>
      <c r="N37" s="8" t="s">
        <v>59</v>
      </c>
    </row>
    <row r="38" ht="66" customHeight="1" spans="1:14">
      <c r="A38" s="2" t="s">
        <v>260</v>
      </c>
      <c r="B38" s="2" t="s">
        <v>796</v>
      </c>
      <c r="C38" s="2" t="s">
        <v>800</v>
      </c>
      <c r="D38" s="2" t="s">
        <v>801</v>
      </c>
      <c r="E38" s="7" t="s">
        <v>25</v>
      </c>
      <c r="F38" s="2">
        <v>1</v>
      </c>
      <c r="G38" s="2" t="s">
        <v>802</v>
      </c>
      <c r="H38" s="2" t="s">
        <v>803</v>
      </c>
      <c r="I38" s="3" t="s">
        <v>804</v>
      </c>
      <c r="J38" s="2" t="s">
        <v>656</v>
      </c>
      <c r="K38" s="11"/>
      <c r="L38" s="2" t="s">
        <v>63</v>
      </c>
      <c r="M38" s="2" t="s">
        <v>63</v>
      </c>
      <c r="N38" s="8" t="s">
        <v>59</v>
      </c>
    </row>
    <row r="39" ht="66" customHeight="1" spans="1:14">
      <c r="A39" s="4" t="s">
        <v>260</v>
      </c>
      <c r="B39" s="4" t="s">
        <v>805</v>
      </c>
      <c r="C39" s="4" t="s">
        <v>806</v>
      </c>
      <c r="D39" s="4" t="s">
        <v>807</v>
      </c>
      <c r="E39" s="9" t="s">
        <v>25</v>
      </c>
      <c r="F39" s="4">
        <v>1</v>
      </c>
      <c r="G39" s="4" t="s">
        <v>808</v>
      </c>
      <c r="H39" s="4" t="s">
        <v>809</v>
      </c>
      <c r="I39" s="5" t="s">
        <v>754</v>
      </c>
      <c r="J39" s="4" t="s">
        <v>656</v>
      </c>
      <c r="K39" s="12"/>
      <c r="L39" s="4" t="s">
        <v>63</v>
      </c>
      <c r="M39" s="4" t="s">
        <v>63</v>
      </c>
      <c r="N39" s="8" t="s">
        <v>59</v>
      </c>
    </row>
    <row r="40" ht="66" customHeight="1" spans="1:14">
      <c r="A40" s="2" t="s">
        <v>260</v>
      </c>
      <c r="B40" s="2" t="s">
        <v>805</v>
      </c>
      <c r="C40" s="2" t="s">
        <v>810</v>
      </c>
      <c r="D40" s="2" t="s">
        <v>811</v>
      </c>
      <c r="E40" s="7" t="s">
        <v>25</v>
      </c>
      <c r="F40" s="2">
        <v>1</v>
      </c>
      <c r="G40" s="2" t="s">
        <v>812</v>
      </c>
      <c r="H40" s="2" t="s">
        <v>813</v>
      </c>
      <c r="I40" s="3" t="s">
        <v>814</v>
      </c>
      <c r="J40" s="2" t="s">
        <v>656</v>
      </c>
      <c r="K40" s="11"/>
      <c r="L40" s="2" t="s">
        <v>63</v>
      </c>
      <c r="M40" s="2" t="s">
        <v>63</v>
      </c>
      <c r="N40" s="8" t="s">
        <v>59</v>
      </c>
    </row>
    <row r="41" ht="66" customHeight="1" spans="1:14">
      <c r="A41" s="4" t="s">
        <v>260</v>
      </c>
      <c r="B41" s="4" t="s">
        <v>815</v>
      </c>
      <c r="C41" s="4" t="s">
        <v>816</v>
      </c>
      <c r="D41" s="4" t="s">
        <v>817</v>
      </c>
      <c r="E41" s="9" t="s">
        <v>25</v>
      </c>
      <c r="F41" s="4">
        <v>1</v>
      </c>
      <c r="G41" s="4" t="s">
        <v>818</v>
      </c>
      <c r="H41" s="4" t="s">
        <v>819</v>
      </c>
      <c r="I41" s="5" t="s">
        <v>820</v>
      </c>
      <c r="J41" s="4" t="s">
        <v>656</v>
      </c>
      <c r="K41" s="12"/>
      <c r="L41" s="4" t="s">
        <v>63</v>
      </c>
      <c r="M41" s="4" t="s">
        <v>63</v>
      </c>
      <c r="N41" s="8" t="s">
        <v>59</v>
      </c>
    </row>
    <row r="42" ht="66" customHeight="1" spans="1:14">
      <c r="A42" s="2" t="s">
        <v>260</v>
      </c>
      <c r="B42" s="2" t="s">
        <v>821</v>
      </c>
      <c r="C42" s="2" t="s">
        <v>175</v>
      </c>
      <c r="D42" s="2" t="s">
        <v>51</v>
      </c>
      <c r="E42" s="7" t="s">
        <v>25</v>
      </c>
      <c r="F42" s="2">
        <v>1</v>
      </c>
      <c r="G42" s="2" t="s">
        <v>822</v>
      </c>
      <c r="H42" s="2" t="s">
        <v>823</v>
      </c>
      <c r="I42" s="3" t="s">
        <v>177</v>
      </c>
      <c r="J42" s="2" t="s">
        <v>656</v>
      </c>
      <c r="K42" s="11"/>
      <c r="L42" s="2" t="s">
        <v>63</v>
      </c>
      <c r="M42" s="2" t="s">
        <v>63</v>
      </c>
      <c r="N42" s="8" t="s">
        <v>59</v>
      </c>
    </row>
    <row r="43" ht="66" customHeight="1" spans="1:14">
      <c r="A43" s="4" t="s">
        <v>260</v>
      </c>
      <c r="B43" s="4" t="s">
        <v>821</v>
      </c>
      <c r="C43" s="4" t="s">
        <v>824</v>
      </c>
      <c r="D43" s="4" t="s">
        <v>86</v>
      </c>
      <c r="E43" s="9" t="s">
        <v>25</v>
      </c>
      <c r="F43" s="4">
        <v>1</v>
      </c>
      <c r="G43" s="4" t="s">
        <v>825</v>
      </c>
      <c r="H43" s="4" t="s">
        <v>826</v>
      </c>
      <c r="I43" s="5" t="s">
        <v>827</v>
      </c>
      <c r="J43" s="4" t="s">
        <v>656</v>
      </c>
      <c r="K43" s="12"/>
      <c r="L43" s="4" t="s">
        <v>63</v>
      </c>
      <c r="M43" s="4" t="s">
        <v>63</v>
      </c>
      <c r="N43" s="8" t="s">
        <v>59</v>
      </c>
    </row>
    <row r="44" ht="66" customHeight="1" spans="1:14">
      <c r="A44" s="2" t="s">
        <v>260</v>
      </c>
      <c r="B44" s="2" t="s">
        <v>821</v>
      </c>
      <c r="C44" s="2" t="s">
        <v>828</v>
      </c>
      <c r="D44" s="2" t="s">
        <v>787</v>
      </c>
      <c r="E44" s="7" t="s">
        <v>25</v>
      </c>
      <c r="F44" s="2">
        <v>1</v>
      </c>
      <c r="G44" s="2" t="s">
        <v>829</v>
      </c>
      <c r="H44" s="2" t="s">
        <v>830</v>
      </c>
      <c r="I44" s="3" t="s">
        <v>831</v>
      </c>
      <c r="J44" s="2" t="s">
        <v>656</v>
      </c>
      <c r="K44" s="11"/>
      <c r="L44" s="2" t="s">
        <v>63</v>
      </c>
      <c r="M44" s="2" t="s">
        <v>63</v>
      </c>
      <c r="N44" s="8" t="s">
        <v>59</v>
      </c>
    </row>
    <row r="45" ht="66" customHeight="1" spans="1:14">
      <c r="A45" s="4" t="s">
        <v>260</v>
      </c>
      <c r="B45" s="4" t="s">
        <v>821</v>
      </c>
      <c r="C45" s="4" t="s">
        <v>832</v>
      </c>
      <c r="D45" s="4" t="s">
        <v>86</v>
      </c>
      <c r="E45" s="9" t="s">
        <v>25</v>
      </c>
      <c r="F45" s="4">
        <v>1</v>
      </c>
      <c r="G45" s="4" t="s">
        <v>833</v>
      </c>
      <c r="H45" s="4" t="s">
        <v>834</v>
      </c>
      <c r="I45" s="5" t="s">
        <v>835</v>
      </c>
      <c r="J45" s="4" t="s">
        <v>656</v>
      </c>
      <c r="K45" s="12"/>
      <c r="L45" s="4" t="s">
        <v>63</v>
      </c>
      <c r="M45" s="4" t="s">
        <v>63</v>
      </c>
      <c r="N45" s="8" t="s">
        <v>59</v>
      </c>
    </row>
    <row r="46" ht="66" customHeight="1" spans="1:14">
      <c r="A46" s="2" t="s">
        <v>836</v>
      </c>
      <c r="B46" s="2" t="s">
        <v>73</v>
      </c>
      <c r="C46" s="2" t="s">
        <v>837</v>
      </c>
      <c r="D46" s="2" t="s">
        <v>51</v>
      </c>
      <c r="E46" s="7" t="s">
        <v>25</v>
      </c>
      <c r="F46" s="2">
        <v>1</v>
      </c>
      <c r="G46" s="2" t="s">
        <v>838</v>
      </c>
      <c r="H46" s="2" t="s">
        <v>839</v>
      </c>
      <c r="I46" s="3" t="s">
        <v>840</v>
      </c>
      <c r="J46" s="2" t="s">
        <v>656</v>
      </c>
      <c r="K46" s="11"/>
      <c r="L46" s="2" t="s">
        <v>63</v>
      </c>
      <c r="M46" s="2" t="s">
        <v>63</v>
      </c>
      <c r="N46" s="8" t="s">
        <v>59</v>
      </c>
    </row>
    <row r="47" ht="66" customHeight="1" spans="1:14">
      <c r="A47" s="4" t="s">
        <v>836</v>
      </c>
      <c r="B47" s="4" t="s">
        <v>73</v>
      </c>
      <c r="C47" s="4" t="s">
        <v>841</v>
      </c>
      <c r="D47" s="4" t="s">
        <v>842</v>
      </c>
      <c r="E47" s="9" t="s">
        <v>25</v>
      </c>
      <c r="F47" s="4">
        <v>1</v>
      </c>
      <c r="G47" s="4" t="s">
        <v>843</v>
      </c>
      <c r="H47" s="4" t="s">
        <v>844</v>
      </c>
      <c r="I47" s="5" t="s">
        <v>845</v>
      </c>
      <c r="J47" s="4" t="s">
        <v>656</v>
      </c>
      <c r="K47" s="12"/>
      <c r="L47" s="4" t="s">
        <v>63</v>
      </c>
      <c r="M47" s="4" t="s">
        <v>63</v>
      </c>
      <c r="N47" s="8" t="s">
        <v>59</v>
      </c>
    </row>
    <row r="48" ht="66" customHeight="1" spans="1:14">
      <c r="A48" s="2" t="s">
        <v>836</v>
      </c>
      <c r="B48" s="2" t="s">
        <v>73</v>
      </c>
      <c r="C48" s="2" t="s">
        <v>846</v>
      </c>
      <c r="D48" s="2" t="s">
        <v>847</v>
      </c>
      <c r="E48" s="7" t="s">
        <v>25</v>
      </c>
      <c r="F48" s="2">
        <v>1</v>
      </c>
      <c r="G48" s="2" t="s">
        <v>848</v>
      </c>
      <c r="H48" s="2" t="s">
        <v>849</v>
      </c>
      <c r="I48" s="3" t="s">
        <v>850</v>
      </c>
      <c r="J48" s="2" t="s">
        <v>656</v>
      </c>
      <c r="K48" s="11"/>
      <c r="L48" s="2" t="s">
        <v>63</v>
      </c>
      <c r="M48" s="2" t="s">
        <v>63</v>
      </c>
      <c r="N48" s="8" t="s">
        <v>59</v>
      </c>
    </row>
    <row r="49" ht="66" customHeight="1" spans="1:14">
      <c r="A49" s="4" t="s">
        <v>836</v>
      </c>
      <c r="B49" s="4" t="s">
        <v>73</v>
      </c>
      <c r="C49" s="4" t="s">
        <v>851</v>
      </c>
      <c r="D49" s="4" t="s">
        <v>86</v>
      </c>
      <c r="E49" s="9" t="s">
        <v>25</v>
      </c>
      <c r="F49" s="4">
        <v>1</v>
      </c>
      <c r="G49" s="4" t="s">
        <v>852</v>
      </c>
      <c r="H49" s="4" t="s">
        <v>853</v>
      </c>
      <c r="I49" s="5" t="s">
        <v>854</v>
      </c>
      <c r="J49" s="4" t="s">
        <v>656</v>
      </c>
      <c r="K49" s="12"/>
      <c r="L49" s="4" t="s">
        <v>63</v>
      </c>
      <c r="M49" s="4" t="s">
        <v>63</v>
      </c>
      <c r="N49" s="8" t="s">
        <v>59</v>
      </c>
    </row>
    <row r="50" ht="66" customHeight="1" spans="1:14">
      <c r="A50" s="2" t="s">
        <v>836</v>
      </c>
      <c r="B50" s="2" t="s">
        <v>73</v>
      </c>
      <c r="C50" s="2" t="s">
        <v>855</v>
      </c>
      <c r="D50" s="2" t="s">
        <v>151</v>
      </c>
      <c r="E50" s="7" t="s">
        <v>25</v>
      </c>
      <c r="F50" s="2">
        <v>1</v>
      </c>
      <c r="G50" s="2" t="s">
        <v>856</v>
      </c>
      <c r="H50" s="2" t="s">
        <v>857</v>
      </c>
      <c r="I50" s="3" t="s">
        <v>850</v>
      </c>
      <c r="J50" s="2" t="s">
        <v>656</v>
      </c>
      <c r="K50" s="11"/>
      <c r="L50" s="2" t="s">
        <v>63</v>
      </c>
      <c r="M50" s="2" t="s">
        <v>63</v>
      </c>
      <c r="N50" s="8" t="s">
        <v>59</v>
      </c>
    </row>
    <row r="51" ht="66" customHeight="1" spans="1:14">
      <c r="A51" s="4" t="s">
        <v>836</v>
      </c>
      <c r="B51" s="4" t="s">
        <v>81</v>
      </c>
      <c r="C51" s="4" t="s">
        <v>858</v>
      </c>
      <c r="D51" s="4" t="s">
        <v>51</v>
      </c>
      <c r="E51" s="9" t="s">
        <v>25</v>
      </c>
      <c r="F51" s="4">
        <v>1</v>
      </c>
      <c r="G51" s="4" t="s">
        <v>859</v>
      </c>
      <c r="H51" s="4" t="s">
        <v>860</v>
      </c>
      <c r="I51" s="5" t="s">
        <v>861</v>
      </c>
      <c r="J51" s="4" t="s">
        <v>656</v>
      </c>
      <c r="K51" s="12"/>
      <c r="L51" s="4" t="s">
        <v>63</v>
      </c>
      <c r="M51" s="4" t="s">
        <v>63</v>
      </c>
      <c r="N51" s="8" t="s">
        <v>59</v>
      </c>
    </row>
    <row r="52" ht="66" customHeight="1" spans="1:14">
      <c r="A52" s="2" t="s">
        <v>836</v>
      </c>
      <c r="B52" s="2" t="s">
        <v>81</v>
      </c>
      <c r="C52" s="2" t="s">
        <v>862</v>
      </c>
      <c r="D52" s="2" t="s">
        <v>51</v>
      </c>
      <c r="E52" s="7" t="s">
        <v>25</v>
      </c>
      <c r="F52" s="2">
        <v>1</v>
      </c>
      <c r="G52" s="2" t="s">
        <v>863</v>
      </c>
      <c r="H52" s="2" t="s">
        <v>864</v>
      </c>
      <c r="I52" s="3" t="s">
        <v>71</v>
      </c>
      <c r="J52" s="2" t="s">
        <v>656</v>
      </c>
      <c r="K52" s="11"/>
      <c r="L52" s="2" t="s">
        <v>63</v>
      </c>
      <c r="M52" s="2" t="s">
        <v>63</v>
      </c>
      <c r="N52" s="8" t="s">
        <v>59</v>
      </c>
    </row>
    <row r="53" ht="66" customHeight="1" spans="1:14">
      <c r="A53" s="4" t="s">
        <v>836</v>
      </c>
      <c r="B53" s="4" t="s">
        <v>81</v>
      </c>
      <c r="C53" s="4" t="s">
        <v>865</v>
      </c>
      <c r="D53" s="4" t="s">
        <v>51</v>
      </c>
      <c r="E53" s="9" t="s">
        <v>25</v>
      </c>
      <c r="F53" s="4">
        <v>1</v>
      </c>
      <c r="G53" s="4" t="s">
        <v>866</v>
      </c>
      <c r="H53" s="4" t="s">
        <v>867</v>
      </c>
      <c r="I53" s="5" t="s">
        <v>868</v>
      </c>
      <c r="J53" s="4" t="s">
        <v>656</v>
      </c>
      <c r="K53" s="12"/>
      <c r="L53" s="4" t="s">
        <v>63</v>
      </c>
      <c r="M53" s="4" t="s">
        <v>63</v>
      </c>
      <c r="N53" s="8" t="s">
        <v>59</v>
      </c>
    </row>
    <row r="54" ht="66" customHeight="1" spans="1:14">
      <c r="A54" s="2" t="s">
        <v>836</v>
      </c>
      <c r="B54" s="2" t="s">
        <v>869</v>
      </c>
      <c r="C54" s="2" t="s">
        <v>870</v>
      </c>
      <c r="D54" s="2" t="s">
        <v>51</v>
      </c>
      <c r="E54" s="7" t="s">
        <v>25</v>
      </c>
      <c r="F54" s="2">
        <v>1</v>
      </c>
      <c r="G54" s="2" t="s">
        <v>871</v>
      </c>
      <c r="H54" s="2" t="s">
        <v>872</v>
      </c>
      <c r="I54" s="3" t="s">
        <v>92</v>
      </c>
      <c r="J54" s="2" t="s">
        <v>656</v>
      </c>
      <c r="K54" s="11"/>
      <c r="L54" s="2" t="s">
        <v>63</v>
      </c>
      <c r="M54" s="2" t="s">
        <v>63</v>
      </c>
      <c r="N54" s="8" t="s">
        <v>59</v>
      </c>
    </row>
    <row r="55" ht="66" customHeight="1" spans="1:14">
      <c r="A55" s="4" t="s">
        <v>836</v>
      </c>
      <c r="B55" s="4" t="s">
        <v>869</v>
      </c>
      <c r="C55" s="4" t="s">
        <v>873</v>
      </c>
      <c r="D55" s="4" t="s">
        <v>874</v>
      </c>
      <c r="E55" s="9" t="s">
        <v>25</v>
      </c>
      <c r="F55" s="4">
        <v>1</v>
      </c>
      <c r="G55" s="4" t="s">
        <v>875</v>
      </c>
      <c r="H55" s="4" t="s">
        <v>876</v>
      </c>
      <c r="I55" s="5" t="s">
        <v>877</v>
      </c>
      <c r="J55" s="4" t="s">
        <v>656</v>
      </c>
      <c r="K55" s="12"/>
      <c r="L55" s="4" t="s">
        <v>63</v>
      </c>
      <c r="M55" s="4" t="s">
        <v>63</v>
      </c>
      <c r="N55" s="8" t="s">
        <v>59</v>
      </c>
    </row>
    <row r="56" ht="66" customHeight="1" spans="1:14">
      <c r="A56" s="2" t="s">
        <v>836</v>
      </c>
      <c r="B56" s="2" t="s">
        <v>221</v>
      </c>
      <c r="C56" s="2" t="s">
        <v>878</v>
      </c>
      <c r="D56" s="2" t="s">
        <v>51</v>
      </c>
      <c r="E56" s="7" t="s">
        <v>25</v>
      </c>
      <c r="F56" s="2">
        <v>1</v>
      </c>
      <c r="G56" s="2" t="s">
        <v>879</v>
      </c>
      <c r="H56" s="2" t="s">
        <v>880</v>
      </c>
      <c r="I56" s="3" t="s">
        <v>881</v>
      </c>
      <c r="J56" s="2" t="s">
        <v>656</v>
      </c>
      <c r="K56" s="11"/>
      <c r="L56" s="2" t="s">
        <v>63</v>
      </c>
      <c r="M56" s="2" t="s">
        <v>63</v>
      </c>
      <c r="N56" s="8" t="s">
        <v>59</v>
      </c>
    </row>
    <row r="57" ht="66" customHeight="1" spans="1:14">
      <c r="A57" s="4" t="s">
        <v>836</v>
      </c>
      <c r="B57" s="4" t="s">
        <v>102</v>
      </c>
      <c r="C57" s="4" t="s">
        <v>882</v>
      </c>
      <c r="D57" s="4" t="s">
        <v>86</v>
      </c>
      <c r="E57" s="9" t="s">
        <v>25</v>
      </c>
      <c r="F57" s="4">
        <v>1</v>
      </c>
      <c r="G57" s="4" t="s">
        <v>883</v>
      </c>
      <c r="H57" s="4" t="s">
        <v>884</v>
      </c>
      <c r="I57" s="5" t="s">
        <v>885</v>
      </c>
      <c r="J57" s="4" t="s">
        <v>656</v>
      </c>
      <c r="K57" s="12"/>
      <c r="L57" s="4" t="s">
        <v>63</v>
      </c>
      <c r="M57" s="4" t="s">
        <v>63</v>
      </c>
      <c r="N57" s="8" t="s">
        <v>59</v>
      </c>
    </row>
    <row r="58" ht="66" customHeight="1" spans="1:14">
      <c r="A58" s="2" t="s">
        <v>651</v>
      </c>
      <c r="B58" s="2" t="s">
        <v>109</v>
      </c>
      <c r="C58" s="2" t="s">
        <v>886</v>
      </c>
      <c r="D58" s="2" t="s">
        <v>51</v>
      </c>
      <c r="E58" s="7" t="s">
        <v>25</v>
      </c>
      <c r="F58" s="2">
        <v>1</v>
      </c>
      <c r="G58" s="2" t="s">
        <v>887</v>
      </c>
      <c r="H58" s="2" t="s">
        <v>888</v>
      </c>
      <c r="I58" s="3" t="s">
        <v>889</v>
      </c>
      <c r="J58" s="2" t="s">
        <v>656</v>
      </c>
      <c r="K58" s="11"/>
      <c r="L58" s="2" t="s">
        <v>63</v>
      </c>
      <c r="M58" s="2" t="s">
        <v>63</v>
      </c>
      <c r="N58" s="8" t="s">
        <v>59</v>
      </c>
    </row>
  </sheetData>
  <conditionalFormatting sqref="E2:E58">
    <cfRule type="expression" dxfId="0" priority="3">
      <formula>E2="Done"</formula>
    </cfRule>
    <cfRule type="expression" dxfId="1" priority="4">
      <formula>E2="Pending"</formula>
    </cfRule>
    <cfRule type="expression" dxfId="2" priority="5">
      <formula>E2="Revision"</formula>
    </cfRule>
    <cfRule type="expression" dxfId="3" priority="6">
      <formula>E2="Not Started"</formula>
    </cfRule>
  </conditionalFormatting>
  <conditionalFormatting sqref="N2:N58">
    <cfRule type="expression" dxfId="4" priority="1">
      <formula>N2="☑"</formula>
    </cfRule>
    <cfRule type="expression" dxfId="5" priority="2">
      <formula>N2="☐"</formula>
    </cfRule>
  </conditionalFormatting>
  <dataValidations count="3">
    <dataValidation type="list" sqref="E2:E58">
      <formula1>"Not Started,Pending,Done,Revision"</formula1>
    </dataValidation>
    <dataValidation type="whole" operator="between" allowBlank="1" sqref="F2:F58">
      <formula1>1</formula1>
      <formula2>5</formula2>
    </dataValidation>
    <dataValidation type="list" allowBlank="1" errorTitle="Select progress" error="Choose ☐ or ☑ from the dropdown." promptTitle="Progress checkbox" prompt="Choose ☑ when this item is complete." sqref="N2:N58">
      <formula1>"☐,☑"</formula1>
    </dataValidation>
  </dataValidations>
  <hyperlinks>
    <hyperlink ref="I2" r:id="rId2" display="https://docs.python.org/3/tutorial/"/>
    <hyperlink ref="I3" r:id="rId3" display="https://developer.mozilla.org/en-US/docs/Web/JavaScript"/>
    <hyperlink ref="I4" r:id="rId4" display="https://www.typescriptlang.org/docs/"/>
    <hyperlink ref="I5" r:id="rId5" display="https://leetcode.com/problemset/"/>
    <hyperlink ref="I6" r:id="rId6" display="https://www.geeksforgeeks.org/"/>
    <hyperlink ref="I7" r:id="rId7" display="https://docs.github.com/en"/>
    <hyperlink ref="I8" r:id="rId8" display="https://missing.csail.mit.edu/"/>
    <hyperlink ref="I9" r:id="rId9" display="https://www.khanacademy.org/math/linear-algebra"/>
    <hyperlink ref="I10" r:id="rId10" display="https://www.khanacademy.org/math/statistics-probability"/>
    <hyperlink ref="I11" r:id="rId11" display="https://numpy.org/doc/stable/user/"/>
    <hyperlink ref="I12" r:id="rId12" display="https://pandas.pydata.org/docs/"/>
    <hyperlink ref="I13" r:id="rId13" display="https://sqlbolt.com/"/>
    <hyperlink ref="I14" r:id="rId14" display="https://scikit-learn.org/stable/supervised_learning.html"/>
    <hyperlink ref="I15" r:id="rId15" display="https://scikit-learn.org/stable/unsupervised_learning.html"/>
    <hyperlink ref="I16" r:id="rId16" display="https://scikit-learn.org/stable/modules/compose.html"/>
    <hyperlink ref="I17" r:id="rId17" display="https://scikit-learn.org/stable/modules/model_evaluation.html"/>
    <hyperlink ref="I18" r:id="rId18" display="https://scikit-learn.org/stable/common_pitfalls.html"/>
    <hyperlink ref="I19" r:id="rId19" display="https://www.nist.gov/itl/ai-risk-management-framework"/>
    <hyperlink ref="I20" r:id="rId20" display="https://www.deeplearning.ai/"/>
    <hyperlink ref="I21" r:id="rId21" display="https://pytorch.org/tutorials/"/>
    <hyperlink ref="I22" r:id="rId22" display="https://www.tensorflow.org/tutorials"/>
    <hyperlink ref="I23" r:id="rId23" display="https://pytorch.org/tutorials/beginner/blitz/cifar10_tutorial.html"/>
    <hyperlink ref="I24" r:id="rId24" display="https://huggingface.co/learn"/>
    <hyperlink ref="I25" r:id="rId24" display="https://huggingface.co/learn"/>
    <hyperlink ref="I26" r:id="rId25" display="https://platform.openai.com/docs/"/>
    <hyperlink ref="I27" r:id="rId26" display="https://platform.openai.com/docs/guides/"/>
    <hyperlink ref="I28" r:id="rId25" display="https://platform.openai.com/docs/"/>
    <hyperlink ref="I29" r:id="rId27" display="https://platform.openai.com/docs/guides/prompt-engineering"/>
    <hyperlink ref="I30" r:id="rId28" display="https://platform.openai.com/docs/guides/embeddings"/>
    <hyperlink ref="I31" r:id="rId29" display="https://platform.openai.com/docs/guides/evals"/>
    <hyperlink ref="I32" r:id="rId30" display="https://www.deeplearning.ai/short-courses/"/>
    <hyperlink ref="I33" r:id="rId31" display="https://python.langchain.com/docs/"/>
    <hyperlink ref="I34" r:id="rId32" display="https://github.com/pgvector/pgvector"/>
    <hyperlink ref="I35" r:id="rId33" display="https://www.elastic.co/what-is/hybrid-search"/>
    <hyperlink ref="I36" r:id="rId34" display="https://docs.ragas.io/"/>
    <hyperlink ref="I37" r:id="rId31" display="https://python.langchain.com/docs/"/>
    <hyperlink ref="I38" r:id="rId35" display="https://docs.llamaindex.ai/"/>
    <hyperlink ref="I39" r:id="rId26" display="https://platform.openai.com/docs/guides/"/>
    <hyperlink ref="I40" r:id="rId36" display="https://modelcontextprotocol.io/introduction"/>
    <hyperlink ref="I41" r:id="rId37" display="https://owasp.org/www-project-top-10-for-large-language-model-applications/"/>
    <hyperlink ref="I42" r:id="rId38" display="https://fastapi.tiangolo.com/"/>
    <hyperlink ref="I43" r:id="rId39" display="https://docs.docker.com/get-started/"/>
    <hyperlink ref="I44" r:id="rId40" display="https://mlflow.org/docs/latest/index.html"/>
    <hyperlink ref="I45" r:id="rId41" display="https://aws.amazon.com/getting-started/"/>
    <hyperlink ref="I46" r:id="rId42" display="https://react.dev/learn"/>
    <hyperlink ref="I47" r:id="rId43" display="https://reactnative.dev/docs/getting-started"/>
    <hyperlink ref="I48" r:id="rId44" display="https://docs.expo.dev/"/>
    <hyperlink ref="I49" r:id="rId45" display="https://redux-toolkit.js.org/"/>
    <hyperlink ref="I50" r:id="rId44" display="https://docs.expo.dev/"/>
    <hyperlink ref="I51" r:id="rId46" display="https://expressjs.com/"/>
    <hyperlink ref="I52" r:id="rId47" display="https://developer.mozilla.org/en-US/docs/Web/HTTP"/>
    <hyperlink ref="I53" r:id="rId48" display="https://owasp.org/www-project-top-ten/"/>
    <hyperlink ref="I54" r:id="rId49" display="https://www.postgresql.org/docs/"/>
    <hyperlink ref="I55" r:id="rId50" display="https://www.mongodb.com/docs/"/>
    <hyperlink ref="I56" r:id="rId51" display="https://vitest.dev/guide/"/>
    <hyperlink ref="I57" r:id="rId52" display="https://docs.github.com/en/actions"/>
    <hyperlink ref="I58" r:id="rId53" display="https://docs.github.com/en/repositories"/>
  </hyperlink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20" customWidth="1"/>
    <col min="2" max="2" width="34" customWidth="1"/>
    <col min="3" max="3" width="54" customWidth="1"/>
    <col min="4" max="4" width="42" customWidth="1"/>
    <col min="5" max="5" width="20" customWidth="1"/>
    <col min="6" max="6" width="42" customWidth="1"/>
    <col min="7" max="7" width="14" customWidth="1"/>
  </cols>
  <sheetData>
    <row r="1" ht="36" customHeight="1" spans="1:7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6" t="s">
        <v>47</v>
      </c>
    </row>
    <row r="2" ht="42" customHeight="1" spans="1:7">
      <c r="A2" s="2" t="s">
        <v>118</v>
      </c>
      <c r="B2" s="2" t="s">
        <v>896</v>
      </c>
      <c r="C2" s="3" t="s">
        <v>121</v>
      </c>
      <c r="D2" s="2" t="s">
        <v>897</v>
      </c>
      <c r="E2" s="7" t="s">
        <v>25</v>
      </c>
      <c r="F2" s="2" t="s">
        <v>63</v>
      </c>
      <c r="G2" s="8" t="s">
        <v>59</v>
      </c>
    </row>
    <row r="3" ht="42" customHeight="1" spans="1:7">
      <c r="A3" s="4" t="s">
        <v>898</v>
      </c>
      <c r="B3" s="4" t="s">
        <v>899</v>
      </c>
      <c r="C3" s="5" t="s">
        <v>128</v>
      </c>
      <c r="D3" s="4" t="s">
        <v>900</v>
      </c>
      <c r="E3" s="9" t="s">
        <v>25</v>
      </c>
      <c r="F3" s="4" t="s">
        <v>63</v>
      </c>
      <c r="G3" s="8" t="s">
        <v>59</v>
      </c>
    </row>
    <row r="4" ht="42" customHeight="1" spans="1:7">
      <c r="A4" s="2" t="s">
        <v>901</v>
      </c>
      <c r="B4" s="2" t="s">
        <v>902</v>
      </c>
      <c r="C4" s="3" t="s">
        <v>125</v>
      </c>
      <c r="D4" s="2" t="s">
        <v>903</v>
      </c>
      <c r="E4" s="7" t="s">
        <v>25</v>
      </c>
      <c r="F4" s="2" t="s">
        <v>63</v>
      </c>
      <c r="G4" s="8" t="s">
        <v>59</v>
      </c>
    </row>
    <row r="5" ht="42" customHeight="1" spans="1:7">
      <c r="A5" s="4" t="s">
        <v>89</v>
      </c>
      <c r="B5" s="4" t="s">
        <v>904</v>
      </c>
      <c r="C5" s="5" t="s">
        <v>690</v>
      </c>
      <c r="D5" s="4" t="s">
        <v>905</v>
      </c>
      <c r="E5" s="9" t="s">
        <v>25</v>
      </c>
      <c r="F5" s="4" t="s">
        <v>63</v>
      </c>
      <c r="G5" s="8" t="s">
        <v>59</v>
      </c>
    </row>
    <row r="6" ht="42" customHeight="1" spans="1:7">
      <c r="A6" s="2" t="s">
        <v>89</v>
      </c>
      <c r="B6" s="2" t="s">
        <v>906</v>
      </c>
      <c r="C6" s="3" t="s">
        <v>131</v>
      </c>
      <c r="D6" s="2" t="s">
        <v>907</v>
      </c>
      <c r="E6" s="7" t="s">
        <v>25</v>
      </c>
      <c r="F6" s="2" t="s">
        <v>63</v>
      </c>
      <c r="G6" s="8" t="s">
        <v>59</v>
      </c>
    </row>
    <row r="7" ht="42" customHeight="1" spans="1:7">
      <c r="A7" s="4" t="s">
        <v>908</v>
      </c>
      <c r="B7" s="4" t="s">
        <v>909</v>
      </c>
      <c r="C7" s="5" t="s">
        <v>910</v>
      </c>
      <c r="D7" s="4" t="s">
        <v>911</v>
      </c>
      <c r="E7" s="9" t="s">
        <v>25</v>
      </c>
      <c r="F7" s="4" t="s">
        <v>63</v>
      </c>
      <c r="G7" s="8" t="s">
        <v>59</v>
      </c>
    </row>
    <row r="8" ht="42" customHeight="1" spans="1:7">
      <c r="A8" s="2" t="s">
        <v>912</v>
      </c>
      <c r="B8" s="2" t="s">
        <v>913</v>
      </c>
      <c r="C8" s="3" t="s">
        <v>156</v>
      </c>
      <c r="D8" s="2" t="s">
        <v>149</v>
      </c>
      <c r="E8" s="7" t="s">
        <v>25</v>
      </c>
      <c r="F8" s="2" t="s">
        <v>63</v>
      </c>
      <c r="G8" s="8" t="s">
        <v>59</v>
      </c>
    </row>
    <row r="9" ht="42" customHeight="1" spans="1:7">
      <c r="A9" s="4" t="s">
        <v>914</v>
      </c>
      <c r="B9" s="4" t="s">
        <v>915</v>
      </c>
      <c r="C9" s="5" t="s">
        <v>161</v>
      </c>
      <c r="D9" s="4" t="s">
        <v>916</v>
      </c>
      <c r="E9" s="9" t="s">
        <v>25</v>
      </c>
      <c r="F9" s="4" t="s">
        <v>63</v>
      </c>
      <c r="G9" s="8" t="s">
        <v>59</v>
      </c>
    </row>
    <row r="10" ht="42" customHeight="1" spans="1:7">
      <c r="A10" s="2" t="s">
        <v>917</v>
      </c>
      <c r="B10" s="2" t="s">
        <v>918</v>
      </c>
      <c r="C10" s="3" t="s">
        <v>750</v>
      </c>
      <c r="D10" s="2" t="s">
        <v>919</v>
      </c>
      <c r="E10" s="7" t="s">
        <v>25</v>
      </c>
      <c r="F10" s="2" t="s">
        <v>920</v>
      </c>
      <c r="G10" s="8" t="s">
        <v>59</v>
      </c>
    </row>
    <row r="11" ht="42" customHeight="1" spans="1:7">
      <c r="A11" s="4" t="s">
        <v>772</v>
      </c>
      <c r="B11" s="4" t="s">
        <v>921</v>
      </c>
      <c r="C11" s="5" t="s">
        <v>781</v>
      </c>
      <c r="D11" s="4" t="s">
        <v>922</v>
      </c>
      <c r="E11" s="9" t="s">
        <v>25</v>
      </c>
      <c r="F11" s="4" t="s">
        <v>63</v>
      </c>
      <c r="G11" s="8" t="s">
        <v>59</v>
      </c>
    </row>
    <row r="12" ht="42" customHeight="1" spans="1:7">
      <c r="A12" s="2" t="s">
        <v>772</v>
      </c>
      <c r="B12" s="2" t="s">
        <v>923</v>
      </c>
      <c r="C12" s="3" t="s">
        <v>804</v>
      </c>
      <c r="D12" s="2" t="s">
        <v>924</v>
      </c>
      <c r="E12" s="7" t="s">
        <v>25</v>
      </c>
      <c r="F12" s="2" t="s">
        <v>925</v>
      </c>
      <c r="G12" s="8" t="s">
        <v>59</v>
      </c>
    </row>
    <row r="13" ht="42" customHeight="1" spans="1:7">
      <c r="A13" s="4" t="s">
        <v>926</v>
      </c>
      <c r="B13" s="4" t="s">
        <v>927</v>
      </c>
      <c r="C13" s="5" t="s">
        <v>795</v>
      </c>
      <c r="D13" s="4" t="s">
        <v>928</v>
      </c>
      <c r="E13" s="9" t="s">
        <v>25</v>
      </c>
      <c r="F13" s="4" t="s">
        <v>63</v>
      </c>
      <c r="G13" s="8" t="s">
        <v>59</v>
      </c>
    </row>
    <row r="14" ht="42" customHeight="1" spans="1:7">
      <c r="A14" s="2" t="s">
        <v>929</v>
      </c>
      <c r="B14" s="2" t="s">
        <v>930</v>
      </c>
      <c r="C14" s="3" t="s">
        <v>785</v>
      </c>
      <c r="D14" s="2" t="s">
        <v>931</v>
      </c>
      <c r="E14" s="7" t="s">
        <v>25</v>
      </c>
      <c r="F14" s="2" t="s">
        <v>63</v>
      </c>
      <c r="G14" s="8" t="s">
        <v>59</v>
      </c>
    </row>
    <row r="15" ht="42" customHeight="1" spans="1:7">
      <c r="A15" s="4" t="s">
        <v>932</v>
      </c>
      <c r="B15" s="4" t="s">
        <v>933</v>
      </c>
      <c r="C15" s="5" t="s">
        <v>814</v>
      </c>
      <c r="D15" s="4" t="s">
        <v>934</v>
      </c>
      <c r="E15" s="9" t="s">
        <v>25</v>
      </c>
      <c r="F15" s="4" t="s">
        <v>935</v>
      </c>
      <c r="G15" s="8" t="s">
        <v>59</v>
      </c>
    </row>
    <row r="16" ht="42" customHeight="1" spans="1:7">
      <c r="A16" s="2" t="s">
        <v>936</v>
      </c>
      <c r="B16" s="2" t="s">
        <v>937</v>
      </c>
      <c r="C16" s="3" t="s">
        <v>820</v>
      </c>
      <c r="D16" s="2" t="s">
        <v>938</v>
      </c>
      <c r="E16" s="7" t="s">
        <v>25</v>
      </c>
      <c r="F16" s="2" t="s">
        <v>63</v>
      </c>
      <c r="G16" s="8" t="s">
        <v>59</v>
      </c>
    </row>
    <row r="17" ht="42" customHeight="1" spans="1:7">
      <c r="A17" s="4" t="s">
        <v>81</v>
      </c>
      <c r="B17" s="4" t="s">
        <v>939</v>
      </c>
      <c r="C17" s="5" t="s">
        <v>177</v>
      </c>
      <c r="D17" s="4" t="s">
        <v>940</v>
      </c>
      <c r="E17" s="9" t="s">
        <v>25</v>
      </c>
      <c r="F17" s="4" t="s">
        <v>63</v>
      </c>
      <c r="G17" s="8" t="s">
        <v>59</v>
      </c>
    </row>
    <row r="18" ht="42" customHeight="1" spans="1:7">
      <c r="A18" s="2" t="s">
        <v>73</v>
      </c>
      <c r="B18" s="2" t="s">
        <v>941</v>
      </c>
      <c r="C18" s="3" t="s">
        <v>840</v>
      </c>
      <c r="D18" s="2" t="s">
        <v>837</v>
      </c>
      <c r="E18" s="7" t="s">
        <v>25</v>
      </c>
      <c r="F18" s="2" t="s">
        <v>63</v>
      </c>
      <c r="G18" s="8" t="s">
        <v>59</v>
      </c>
    </row>
    <row r="19" ht="42" customHeight="1" spans="1:7">
      <c r="A19" s="4" t="s">
        <v>942</v>
      </c>
      <c r="B19" s="4" t="s">
        <v>943</v>
      </c>
      <c r="C19" s="5" t="s">
        <v>845</v>
      </c>
      <c r="D19" s="4" t="s">
        <v>841</v>
      </c>
      <c r="E19" s="9" t="s">
        <v>25</v>
      </c>
      <c r="F19" s="4" t="s">
        <v>63</v>
      </c>
      <c r="G19" s="8" t="s">
        <v>59</v>
      </c>
    </row>
    <row r="20" ht="42" customHeight="1" spans="1:7">
      <c r="A20" s="2" t="s">
        <v>942</v>
      </c>
      <c r="B20" s="2" t="s">
        <v>944</v>
      </c>
      <c r="C20" s="3" t="s">
        <v>850</v>
      </c>
      <c r="D20" s="2" t="s">
        <v>945</v>
      </c>
      <c r="E20" s="7" t="s">
        <v>25</v>
      </c>
      <c r="F20" s="2" t="s">
        <v>63</v>
      </c>
      <c r="G20" s="8" t="s">
        <v>59</v>
      </c>
    </row>
    <row r="21" ht="42" customHeight="1" spans="1:7">
      <c r="A21" s="4" t="s">
        <v>81</v>
      </c>
      <c r="B21" s="4" t="s">
        <v>946</v>
      </c>
      <c r="C21" s="5" t="s">
        <v>861</v>
      </c>
      <c r="D21" s="4" t="s">
        <v>947</v>
      </c>
      <c r="E21" s="9" t="s">
        <v>25</v>
      </c>
      <c r="F21" s="4" t="s">
        <v>63</v>
      </c>
      <c r="G21" s="8" t="s">
        <v>59</v>
      </c>
    </row>
    <row r="22" ht="42" customHeight="1" spans="1:7">
      <c r="A22" s="2" t="s">
        <v>869</v>
      </c>
      <c r="B22" s="2" t="s">
        <v>948</v>
      </c>
      <c r="C22" s="3" t="s">
        <v>92</v>
      </c>
      <c r="D22" s="2" t="s">
        <v>949</v>
      </c>
      <c r="E22" s="7" t="s">
        <v>25</v>
      </c>
      <c r="F22" s="2" t="s">
        <v>63</v>
      </c>
      <c r="G22" s="8" t="s">
        <v>59</v>
      </c>
    </row>
    <row r="23" ht="42" customHeight="1" spans="1:7">
      <c r="A23" s="4" t="s">
        <v>869</v>
      </c>
      <c r="B23" s="4" t="s">
        <v>950</v>
      </c>
      <c r="C23" s="5" t="s">
        <v>877</v>
      </c>
      <c r="D23" s="4" t="s">
        <v>951</v>
      </c>
      <c r="E23" s="9" t="s">
        <v>25</v>
      </c>
      <c r="F23" s="4" t="s">
        <v>63</v>
      </c>
      <c r="G23" s="8" t="s">
        <v>59</v>
      </c>
    </row>
    <row r="24" ht="42" customHeight="1" spans="1:7">
      <c r="A24" s="2" t="s">
        <v>952</v>
      </c>
      <c r="B24" s="2" t="s">
        <v>953</v>
      </c>
      <c r="C24" s="3" t="s">
        <v>827</v>
      </c>
      <c r="D24" s="2" t="s">
        <v>954</v>
      </c>
      <c r="E24" s="7" t="s">
        <v>25</v>
      </c>
      <c r="F24" s="2" t="s">
        <v>63</v>
      </c>
      <c r="G24" s="8" t="s">
        <v>59</v>
      </c>
    </row>
    <row r="25" ht="42" customHeight="1" spans="1:7">
      <c r="A25" s="4" t="s">
        <v>113</v>
      </c>
      <c r="B25" s="4" t="s">
        <v>955</v>
      </c>
      <c r="C25" s="5" t="s">
        <v>58</v>
      </c>
      <c r="D25" s="4" t="s">
        <v>956</v>
      </c>
      <c r="E25" s="9" t="s">
        <v>25</v>
      </c>
      <c r="F25" s="4" t="s">
        <v>63</v>
      </c>
      <c r="G25" s="8" t="s">
        <v>59</v>
      </c>
    </row>
    <row r="26" ht="42" customHeight="1" spans="1:7">
      <c r="A26" s="2" t="s">
        <v>113</v>
      </c>
      <c r="B26" s="2" t="s">
        <v>957</v>
      </c>
      <c r="C26" s="3" t="s">
        <v>696</v>
      </c>
      <c r="D26" s="2" t="s">
        <v>958</v>
      </c>
      <c r="E26" s="7" t="s">
        <v>25</v>
      </c>
      <c r="F26" s="2" t="s">
        <v>63</v>
      </c>
      <c r="G26" s="8" t="s">
        <v>59</v>
      </c>
    </row>
  </sheetData>
  <conditionalFormatting sqref="E2:E26">
    <cfRule type="expression" dxfId="0" priority="3">
      <formula>E2="Done"</formula>
    </cfRule>
    <cfRule type="expression" dxfId="1" priority="4">
      <formula>E2="Pending"</formula>
    </cfRule>
    <cfRule type="expression" dxfId="2" priority="5">
      <formula>E2="Revision"</formula>
    </cfRule>
    <cfRule type="expression" dxfId="3" priority="6">
      <formula>E2="Not Started"</formula>
    </cfRule>
  </conditionalFormatting>
  <conditionalFormatting sqref="G2:G26">
    <cfRule type="expression" dxfId="4" priority="1">
      <formula>G2="☑"</formula>
    </cfRule>
    <cfRule type="expression" dxfId="5" priority="2">
      <formula>G2="☐"</formula>
    </cfRule>
  </conditionalFormatting>
  <dataValidations count="2">
    <dataValidation type="list" sqref="E2:E26">
      <formula1>"Not Started,Pending,Done,Revision"</formula1>
    </dataValidation>
    <dataValidation type="list" allowBlank="1" errorTitle="Select progress" error="Choose ☐ or ☑ from the dropdown." promptTitle="Progress checkbox" prompt="Choose ☑ when this item is complete." sqref="G2:G26">
      <formula1>"☐,☑"</formula1>
    </dataValidation>
  </dataValidations>
  <hyperlinks>
    <hyperlink ref="C2" r:id="rId1" display="https://docs.python.org/3/tutorial/"/>
    <hyperlink ref="C3" r:id="rId2" display="https://www.khanacademy.org/math/statistics-probability"/>
    <hyperlink ref="C4" r:id="rId3" display="https://www.khanacademy.org/math/linear-algebra"/>
    <hyperlink ref="C5" r:id="rId4" display="https://numpy.org/doc/stable/user/"/>
    <hyperlink ref="C6" r:id="rId5" display="https://pandas.pydata.org/docs/"/>
    <hyperlink ref="C7" r:id="rId6" display="https://scikit-learn.org/stable/user_guide.html"/>
    <hyperlink ref="C8" r:id="rId7" display="https://pytorch.org/tutorials/"/>
    <hyperlink ref="C9" r:id="rId8" display="https://huggingface.co/learn"/>
    <hyperlink ref="C10" r:id="rId9" display="https://platform.openai.com/docs/"/>
    <hyperlink ref="C11" r:id="rId10" display="https://python.langchain.com/docs/"/>
    <hyperlink ref="C12" r:id="rId11" display="https://docs.llamaindex.ai/"/>
    <hyperlink ref="C13" r:id="rId12" display="https://docs.ragas.io/"/>
    <hyperlink ref="C14" r:id="rId13" display="https://github.com/pgvector/pgvector"/>
    <hyperlink ref="C15" r:id="rId14" display="https://modelcontextprotocol.io/introduction"/>
    <hyperlink ref="C16" r:id="rId15" display="https://owasp.org/www-project-top-10-for-large-language-model-applications/"/>
    <hyperlink ref="C17" r:id="rId16" display="https://fastapi.tiangolo.com/"/>
    <hyperlink ref="C18" r:id="rId17" display="https://react.dev/learn"/>
    <hyperlink ref="C19" r:id="rId18" display="https://reactnative.dev/docs/getting-started"/>
    <hyperlink ref="C20" r:id="rId19" display="https://docs.expo.dev/"/>
    <hyperlink ref="C21" r:id="rId20" display="https://expressjs.com/"/>
    <hyperlink ref="C22" r:id="rId21" display="https://www.postgresql.org/docs/"/>
    <hyperlink ref="C23" r:id="rId22" display="https://www.mongodb.com/docs/"/>
    <hyperlink ref="C24" r:id="rId23" display="https://docs.docker.com/get-started/"/>
    <hyperlink ref="C25" r:id="rId24" display="https://leetcode.com/problemset/"/>
    <hyperlink ref="C26" r:id="rId25" display="https://sqlbolt.com/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workbookViewId="0">
      <pane ySplit="1" topLeftCell="A13" activePane="bottomLeft" state="frozen"/>
      <selection/>
      <selection pane="bottomLeft" activeCell="A1" sqref="A1"/>
    </sheetView>
  </sheetViews>
  <sheetFormatPr defaultColWidth="9" defaultRowHeight="14.4"/>
  <cols>
    <col min="1" max="1" width="28" customWidth="1"/>
    <col min="2" max="2" width="22" customWidth="1"/>
    <col min="3" max="3" width="64" customWidth="1"/>
    <col min="4" max="4" width="18" customWidth="1"/>
    <col min="5" max="5" width="40" customWidth="1"/>
    <col min="6" max="6" width="42" customWidth="1"/>
    <col min="7" max="7" width="18" customWidth="1"/>
    <col min="8" max="8" width="32" customWidth="1"/>
    <col min="9" max="9" width="14" customWidth="1"/>
  </cols>
  <sheetData>
    <row r="1" ht="36" customHeight="1" spans="1:9">
      <c r="A1" s="1" t="s">
        <v>959</v>
      </c>
      <c r="B1" s="1" t="s">
        <v>960</v>
      </c>
      <c r="C1" s="1" t="s">
        <v>961</v>
      </c>
      <c r="D1" s="1" t="s">
        <v>43</v>
      </c>
      <c r="E1" s="1" t="s">
        <v>962</v>
      </c>
      <c r="F1" s="1" t="s">
        <v>516</v>
      </c>
      <c r="G1" s="1" t="s">
        <v>963</v>
      </c>
      <c r="H1" s="1" t="s">
        <v>895</v>
      </c>
      <c r="I1" s="6" t="s">
        <v>47</v>
      </c>
    </row>
    <row r="2" ht="48" customHeight="1" spans="1:9">
      <c r="A2" s="2" t="s">
        <v>964</v>
      </c>
      <c r="B2" s="2" t="s">
        <v>965</v>
      </c>
      <c r="C2" s="2" t="s">
        <v>966</v>
      </c>
      <c r="D2" s="7" t="s">
        <v>25</v>
      </c>
      <c r="E2" s="2" t="s">
        <v>63</v>
      </c>
      <c r="F2" s="2" t="s">
        <v>967</v>
      </c>
      <c r="G2" s="2" t="s">
        <v>63</v>
      </c>
      <c r="H2" s="2" t="s">
        <v>63</v>
      </c>
      <c r="I2" s="8" t="s">
        <v>59</v>
      </c>
    </row>
    <row r="3" ht="48" customHeight="1" spans="1:9">
      <c r="A3" s="4" t="s">
        <v>964</v>
      </c>
      <c r="B3" s="4" t="s">
        <v>965</v>
      </c>
      <c r="C3" s="4" t="s">
        <v>968</v>
      </c>
      <c r="D3" s="9" t="s">
        <v>25</v>
      </c>
      <c r="E3" s="4" t="s">
        <v>63</v>
      </c>
      <c r="F3" s="4" t="s">
        <v>969</v>
      </c>
      <c r="G3" s="4" t="s">
        <v>63</v>
      </c>
      <c r="H3" s="4" t="s">
        <v>63</v>
      </c>
      <c r="I3" s="8" t="s">
        <v>59</v>
      </c>
    </row>
    <row r="4" ht="48" customHeight="1" spans="1:9">
      <c r="A4" s="2" t="s">
        <v>964</v>
      </c>
      <c r="B4" s="2" t="s">
        <v>965</v>
      </c>
      <c r="C4" s="2" t="s">
        <v>970</v>
      </c>
      <c r="D4" s="7" t="s">
        <v>25</v>
      </c>
      <c r="E4" s="2" t="s">
        <v>63</v>
      </c>
      <c r="F4" s="2" t="s">
        <v>971</v>
      </c>
      <c r="G4" s="2" t="s">
        <v>63</v>
      </c>
      <c r="H4" s="2" t="s">
        <v>63</v>
      </c>
      <c r="I4" s="8" t="s">
        <v>59</v>
      </c>
    </row>
    <row r="5" ht="48" customHeight="1" spans="1:9">
      <c r="A5" s="4" t="s">
        <v>964</v>
      </c>
      <c r="B5" s="4" t="s">
        <v>224</v>
      </c>
      <c r="C5" s="4" t="s">
        <v>972</v>
      </c>
      <c r="D5" s="9" t="s">
        <v>25</v>
      </c>
      <c r="E5" s="4" t="s">
        <v>63</v>
      </c>
      <c r="F5" s="4" t="s">
        <v>973</v>
      </c>
      <c r="G5" s="4" t="s">
        <v>63</v>
      </c>
      <c r="H5" s="4" t="s">
        <v>63</v>
      </c>
      <c r="I5" s="8" t="s">
        <v>59</v>
      </c>
    </row>
    <row r="6" ht="48" customHeight="1" spans="1:9">
      <c r="A6" s="2" t="s">
        <v>964</v>
      </c>
      <c r="B6" s="2" t="s">
        <v>224</v>
      </c>
      <c r="C6" s="2" t="s">
        <v>974</v>
      </c>
      <c r="D6" s="7" t="s">
        <v>25</v>
      </c>
      <c r="E6" s="2" t="s">
        <v>63</v>
      </c>
      <c r="F6" s="2" t="s">
        <v>975</v>
      </c>
      <c r="G6" s="2" t="s">
        <v>63</v>
      </c>
      <c r="H6" s="2" t="s">
        <v>63</v>
      </c>
      <c r="I6" s="8" t="s">
        <v>59</v>
      </c>
    </row>
    <row r="7" ht="48" customHeight="1" spans="1:9">
      <c r="A7" s="4" t="s">
        <v>964</v>
      </c>
      <c r="B7" s="4" t="s">
        <v>976</v>
      </c>
      <c r="C7" s="4" t="s">
        <v>977</v>
      </c>
      <c r="D7" s="9" t="s">
        <v>25</v>
      </c>
      <c r="E7" s="4" t="s">
        <v>63</v>
      </c>
      <c r="F7" s="4" t="s">
        <v>978</v>
      </c>
      <c r="G7" s="4" t="s">
        <v>63</v>
      </c>
      <c r="H7" s="4" t="s">
        <v>63</v>
      </c>
      <c r="I7" s="8" t="s">
        <v>59</v>
      </c>
    </row>
    <row r="8" ht="48" customHeight="1" spans="1:9">
      <c r="A8" s="2" t="s">
        <v>964</v>
      </c>
      <c r="B8" s="2" t="s">
        <v>102</v>
      </c>
      <c r="C8" s="2" t="s">
        <v>979</v>
      </c>
      <c r="D8" s="7" t="s">
        <v>25</v>
      </c>
      <c r="E8" s="2" t="s">
        <v>63</v>
      </c>
      <c r="F8" s="2" t="s">
        <v>980</v>
      </c>
      <c r="G8" s="2" t="s">
        <v>63</v>
      </c>
      <c r="H8" s="2" t="s">
        <v>63</v>
      </c>
      <c r="I8" s="8" t="s">
        <v>59</v>
      </c>
    </row>
    <row r="9" ht="48" customHeight="1" spans="1:9">
      <c r="A9" s="4" t="s">
        <v>981</v>
      </c>
      <c r="B9" s="4" t="s">
        <v>73</v>
      </c>
      <c r="C9" s="4" t="s">
        <v>982</v>
      </c>
      <c r="D9" s="9" t="s">
        <v>25</v>
      </c>
      <c r="E9" s="4" t="s">
        <v>63</v>
      </c>
      <c r="F9" s="4" t="s">
        <v>983</v>
      </c>
      <c r="G9" s="4" t="s">
        <v>63</v>
      </c>
      <c r="H9" s="4" t="s">
        <v>63</v>
      </c>
      <c r="I9" s="8" t="s">
        <v>59</v>
      </c>
    </row>
    <row r="10" ht="48" customHeight="1" spans="1:9">
      <c r="A10" s="2" t="s">
        <v>981</v>
      </c>
      <c r="B10" s="2" t="s">
        <v>81</v>
      </c>
      <c r="C10" s="2" t="s">
        <v>984</v>
      </c>
      <c r="D10" s="7" t="s">
        <v>25</v>
      </c>
      <c r="E10" s="2" t="s">
        <v>63</v>
      </c>
      <c r="F10" s="2" t="s">
        <v>985</v>
      </c>
      <c r="G10" s="2" t="s">
        <v>63</v>
      </c>
      <c r="H10" s="2" t="s">
        <v>63</v>
      </c>
      <c r="I10" s="8" t="s">
        <v>59</v>
      </c>
    </row>
    <row r="11" ht="48" customHeight="1" spans="1:9">
      <c r="A11" s="4" t="s">
        <v>981</v>
      </c>
      <c r="B11" s="4" t="s">
        <v>986</v>
      </c>
      <c r="C11" s="4" t="s">
        <v>987</v>
      </c>
      <c r="D11" s="9" t="s">
        <v>25</v>
      </c>
      <c r="E11" s="4" t="s">
        <v>63</v>
      </c>
      <c r="F11" s="4" t="s">
        <v>988</v>
      </c>
      <c r="G11" s="4" t="s">
        <v>63</v>
      </c>
      <c r="H11" s="4" t="s">
        <v>63</v>
      </c>
      <c r="I11" s="8" t="s">
        <v>59</v>
      </c>
    </row>
    <row r="12" ht="48" customHeight="1" spans="1:9">
      <c r="A12" s="2" t="s">
        <v>981</v>
      </c>
      <c r="B12" s="2" t="s">
        <v>221</v>
      </c>
      <c r="C12" s="2" t="s">
        <v>989</v>
      </c>
      <c r="D12" s="7" t="s">
        <v>25</v>
      </c>
      <c r="E12" s="2" t="s">
        <v>63</v>
      </c>
      <c r="F12" s="2" t="s">
        <v>990</v>
      </c>
      <c r="G12" s="2" t="s">
        <v>63</v>
      </c>
      <c r="H12" s="2" t="s">
        <v>63</v>
      </c>
      <c r="I12" s="8" t="s">
        <v>59</v>
      </c>
    </row>
    <row r="13" ht="48" customHeight="1" spans="1:9">
      <c r="A13" s="4" t="s">
        <v>991</v>
      </c>
      <c r="B13" s="4" t="s">
        <v>992</v>
      </c>
      <c r="C13" s="4" t="s">
        <v>993</v>
      </c>
      <c r="D13" s="9" t="s">
        <v>25</v>
      </c>
      <c r="E13" s="4" t="s">
        <v>63</v>
      </c>
      <c r="F13" s="4" t="s">
        <v>994</v>
      </c>
      <c r="G13" s="4" t="s">
        <v>63</v>
      </c>
      <c r="H13" s="4" t="s">
        <v>63</v>
      </c>
      <c r="I13" s="8" t="s">
        <v>59</v>
      </c>
    </row>
    <row r="14" ht="48" customHeight="1" spans="1:9">
      <c r="A14" s="2" t="s">
        <v>991</v>
      </c>
      <c r="B14" s="2" t="s">
        <v>995</v>
      </c>
      <c r="C14" s="2" t="s">
        <v>996</v>
      </c>
      <c r="D14" s="7" t="s">
        <v>25</v>
      </c>
      <c r="E14" s="2" t="s">
        <v>63</v>
      </c>
      <c r="F14" s="2" t="s">
        <v>997</v>
      </c>
      <c r="G14" s="2" t="s">
        <v>63</v>
      </c>
      <c r="H14" s="2" t="s">
        <v>63</v>
      </c>
      <c r="I14" s="8" t="s">
        <v>59</v>
      </c>
    </row>
    <row r="15" ht="48" customHeight="1" spans="1:9">
      <c r="A15" s="4" t="s">
        <v>991</v>
      </c>
      <c r="B15" s="4" t="s">
        <v>998</v>
      </c>
      <c r="C15" s="4" t="s">
        <v>999</v>
      </c>
      <c r="D15" s="9" t="s">
        <v>25</v>
      </c>
      <c r="E15" s="4" t="s">
        <v>63</v>
      </c>
      <c r="F15" s="4" t="s">
        <v>1000</v>
      </c>
      <c r="G15" s="4" t="s">
        <v>63</v>
      </c>
      <c r="H15" s="4" t="s">
        <v>63</v>
      </c>
      <c r="I15" s="8" t="s">
        <v>59</v>
      </c>
    </row>
    <row r="16" ht="48" customHeight="1" spans="1:9">
      <c r="A16" s="2" t="s">
        <v>234</v>
      </c>
      <c r="B16" s="2" t="s">
        <v>1001</v>
      </c>
      <c r="C16" s="2" t="s">
        <v>1002</v>
      </c>
      <c r="D16" s="7" t="s">
        <v>25</v>
      </c>
      <c r="E16" s="2" t="s">
        <v>63</v>
      </c>
      <c r="F16" s="2" t="s">
        <v>1003</v>
      </c>
      <c r="G16" s="2" t="s">
        <v>63</v>
      </c>
      <c r="H16" s="2" t="s">
        <v>63</v>
      </c>
      <c r="I16" s="8" t="s">
        <v>59</v>
      </c>
    </row>
    <row r="17" ht="48" customHeight="1" spans="1:9">
      <c r="A17" s="4" t="s">
        <v>234</v>
      </c>
      <c r="B17" s="4" t="s">
        <v>1004</v>
      </c>
      <c r="C17" s="4" t="s">
        <v>1005</v>
      </c>
      <c r="D17" s="9" t="s">
        <v>25</v>
      </c>
      <c r="E17" s="4" t="s">
        <v>63</v>
      </c>
      <c r="F17" s="4" t="s">
        <v>1006</v>
      </c>
      <c r="G17" s="4" t="s">
        <v>63</v>
      </c>
      <c r="H17" s="4" t="s">
        <v>63</v>
      </c>
      <c r="I17" s="8" t="s">
        <v>59</v>
      </c>
    </row>
    <row r="18" ht="18" spans="1:9">
      <c r="A18" t="s">
        <v>1007</v>
      </c>
      <c r="B18" t="s">
        <v>1008</v>
      </c>
      <c r="C18" t="s">
        <v>1009</v>
      </c>
      <c r="D18" s="10" t="s">
        <v>25</v>
      </c>
      <c r="F18" t="s">
        <v>1010</v>
      </c>
      <c r="I18" s="8" t="s">
        <v>59</v>
      </c>
    </row>
    <row r="19" ht="18" spans="1:9">
      <c r="A19" t="s">
        <v>1007</v>
      </c>
      <c r="B19" t="s">
        <v>221</v>
      </c>
      <c r="C19" t="s">
        <v>1011</v>
      </c>
      <c r="D19" s="10" t="s">
        <v>25</v>
      </c>
      <c r="F19" t="s">
        <v>1012</v>
      </c>
      <c r="I19" s="8" t="s">
        <v>59</v>
      </c>
    </row>
    <row r="20" ht="18" spans="1:9">
      <c r="A20" t="s">
        <v>1007</v>
      </c>
      <c r="B20" t="s">
        <v>102</v>
      </c>
      <c r="C20" t="s">
        <v>1013</v>
      </c>
      <c r="D20" s="10" t="s">
        <v>25</v>
      </c>
      <c r="F20" t="s">
        <v>1014</v>
      </c>
      <c r="I20" s="8" t="s">
        <v>59</v>
      </c>
    </row>
  </sheetData>
  <conditionalFormatting sqref="D2:D20">
    <cfRule type="expression" dxfId="0" priority="3">
      <formula>D2="Done"</formula>
    </cfRule>
    <cfRule type="expression" dxfId="1" priority="4">
      <formula>D2="Pending"</formula>
    </cfRule>
    <cfRule type="expression" dxfId="2" priority="5">
      <formula>D2="Revision"</formula>
    </cfRule>
    <cfRule type="expression" dxfId="3" priority="6">
      <formula>D2="Not Started"</formula>
    </cfRule>
  </conditionalFormatting>
  <conditionalFormatting sqref="I2:I20">
    <cfRule type="expression" dxfId="4" priority="1">
      <formula>I2="☑"</formula>
    </cfRule>
    <cfRule type="expression" dxfId="5" priority="2">
      <formula>I2="☐"</formula>
    </cfRule>
  </conditionalFormatting>
  <dataValidations count="3">
    <dataValidation type="list" sqref="D2:D17">
      <formula1>"Not started,In progress,Needs revision,Done"</formula1>
    </dataValidation>
    <dataValidation type="list" sqref="D18:D20">
      <formula1>"Not Started,Pending,Done,Revision"</formula1>
    </dataValidation>
    <dataValidation type="list" allowBlank="1" errorTitle="Select progress" error="Choose ☐ or ☑ from the dropdown." promptTitle="Progress checkbox" prompt="Choose ☑ when this item is complete." sqref="I2:I20">
      <formula1>"☐,☑"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36" customWidth="1"/>
    <col min="2" max="2" width="58" customWidth="1"/>
    <col min="3" max="3" width="65" customWidth="1"/>
    <col min="4" max="4" width="58" customWidth="1"/>
  </cols>
  <sheetData>
    <row r="1" ht="36" customHeight="1" spans="1:4">
      <c r="A1" s="1" t="s">
        <v>1015</v>
      </c>
      <c r="B1" s="1" t="s">
        <v>1016</v>
      </c>
      <c r="C1" s="1" t="s">
        <v>892</v>
      </c>
      <c r="D1" s="1" t="s">
        <v>895</v>
      </c>
    </row>
    <row r="2" ht="48" customHeight="1" spans="1:4">
      <c r="A2" s="2" t="s">
        <v>1017</v>
      </c>
      <c r="B2" s="2" t="s">
        <v>1018</v>
      </c>
      <c r="C2" s="3" t="s">
        <v>1019</v>
      </c>
      <c r="D2" s="2" t="s">
        <v>1020</v>
      </c>
    </row>
    <row r="3" ht="48" customHeight="1" spans="1:4">
      <c r="A3" s="4" t="s">
        <v>1021</v>
      </c>
      <c r="B3" s="4" t="s">
        <v>1022</v>
      </c>
      <c r="C3" s="5" t="s">
        <v>1023</v>
      </c>
      <c r="D3" s="4" t="s">
        <v>1024</v>
      </c>
    </row>
    <row r="4" ht="48" customHeight="1" spans="1:4">
      <c r="A4" s="2" t="s">
        <v>1025</v>
      </c>
      <c r="B4" s="2" t="s">
        <v>1026</v>
      </c>
      <c r="C4" s="3" t="s">
        <v>1027</v>
      </c>
      <c r="D4" s="2" t="s">
        <v>1028</v>
      </c>
    </row>
    <row r="5" ht="48" customHeight="1" spans="1:4">
      <c r="A5" s="4" t="s">
        <v>1029</v>
      </c>
      <c r="B5" s="4" t="s">
        <v>1030</v>
      </c>
      <c r="C5" s="5" t="s">
        <v>437</v>
      </c>
      <c r="D5" s="4" t="s">
        <v>1031</v>
      </c>
    </row>
    <row r="6" ht="48" customHeight="1" spans="1:4">
      <c r="A6" s="2" t="s">
        <v>1032</v>
      </c>
      <c r="B6" s="2" t="s">
        <v>1033</v>
      </c>
      <c r="C6" s="3" t="s">
        <v>446</v>
      </c>
      <c r="D6" s="2" t="s">
        <v>1031</v>
      </c>
    </row>
    <row r="7" ht="48" customHeight="1" spans="1:4">
      <c r="A7" s="4" t="s">
        <v>1034</v>
      </c>
      <c r="B7" s="4" t="s">
        <v>1035</v>
      </c>
      <c r="C7" s="5" t="s">
        <v>456</v>
      </c>
      <c r="D7" s="4" t="s">
        <v>1036</v>
      </c>
    </row>
    <row r="8" ht="48" customHeight="1" spans="1:4">
      <c r="A8" s="2" t="s">
        <v>1037</v>
      </c>
      <c r="B8" s="2" t="s">
        <v>1038</v>
      </c>
      <c r="C8" s="3" t="s">
        <v>465</v>
      </c>
      <c r="D8" s="2" t="s">
        <v>1039</v>
      </c>
    </row>
    <row r="9" ht="48" customHeight="1" spans="1:4">
      <c r="A9" s="4" t="s">
        <v>1040</v>
      </c>
      <c r="B9" s="4" t="s">
        <v>1041</v>
      </c>
      <c r="C9" s="5" t="s">
        <v>507</v>
      </c>
      <c r="D9" s="4" t="s">
        <v>1042</v>
      </c>
    </row>
    <row r="10" ht="48" customHeight="1" spans="1:4">
      <c r="A10" s="2" t="s">
        <v>1043</v>
      </c>
      <c r="B10" s="2" t="s">
        <v>1044</v>
      </c>
      <c r="C10" s="3" t="s">
        <v>317</v>
      </c>
      <c r="D10" s="2" t="s">
        <v>1045</v>
      </c>
    </row>
    <row r="11" ht="48" customHeight="1" spans="1:4">
      <c r="A11" s="4" t="s">
        <v>1046</v>
      </c>
      <c r="B11" s="4" t="s">
        <v>1047</v>
      </c>
      <c r="C11" s="5" t="s">
        <v>326</v>
      </c>
      <c r="D11" s="4" t="s">
        <v>1048</v>
      </c>
    </row>
    <row r="12" ht="48" customHeight="1" spans="1:4">
      <c r="A12" s="2" t="s">
        <v>1049</v>
      </c>
      <c r="B12" s="2" t="s">
        <v>1050</v>
      </c>
      <c r="C12" s="3" t="s">
        <v>269</v>
      </c>
      <c r="D12" s="2" t="s">
        <v>1051</v>
      </c>
    </row>
    <row r="13" ht="48" customHeight="1" spans="1:4">
      <c r="A13" s="4" t="s">
        <v>1052</v>
      </c>
      <c r="B13" s="4" t="s">
        <v>1050</v>
      </c>
      <c r="C13" s="5" t="s">
        <v>281</v>
      </c>
      <c r="D13" s="4" t="s">
        <v>1053</v>
      </c>
    </row>
    <row r="14" ht="48" customHeight="1" spans="1:4">
      <c r="A14" s="2" t="s">
        <v>1054</v>
      </c>
      <c r="B14" s="2" t="s">
        <v>1050</v>
      </c>
      <c r="C14" s="3" t="s">
        <v>363</v>
      </c>
      <c r="D14" s="2" t="s">
        <v>1055</v>
      </c>
    </row>
    <row r="15" ht="48" customHeight="1" spans="1:4">
      <c r="A15" s="4" t="s">
        <v>1056</v>
      </c>
      <c r="B15" s="4" t="s">
        <v>1050</v>
      </c>
      <c r="C15" s="5" t="s">
        <v>417</v>
      </c>
      <c r="D15" s="4" t="s">
        <v>1057</v>
      </c>
    </row>
    <row r="16" ht="48" customHeight="1" spans="1:4">
      <c r="A16" s="2"/>
      <c r="B16" s="2"/>
      <c r="C16" s="2"/>
      <c r="D16" s="2"/>
    </row>
    <row r="17" ht="48" customHeight="1" spans="1:4">
      <c r="A17" s="4" t="s">
        <v>1058</v>
      </c>
      <c r="B17" s="4" t="s">
        <v>1059</v>
      </c>
      <c r="C17" s="4"/>
      <c r="D17" s="4"/>
    </row>
    <row r="18" ht="48" customHeight="1" spans="1:4">
      <c r="A18" s="2" t="s">
        <v>1060</v>
      </c>
      <c r="B18" s="2" t="s">
        <v>1061</v>
      </c>
      <c r="C18" s="2"/>
      <c r="D18" s="2"/>
    </row>
    <row r="19" ht="48" customHeight="1" spans="1:4">
      <c r="A19" s="4" t="s">
        <v>1062</v>
      </c>
      <c r="B19" s="4" t="s">
        <v>1063</v>
      </c>
      <c r="C19" s="4"/>
      <c r="D19" s="4"/>
    </row>
  </sheetData>
  <hyperlinks>
    <hyperlink ref="C2" r:id="rId2" display="https://aimlcompanion.ai/blog/ai-engineering-fresher-placements-india-2026"/>
    <hyperlink ref="C3" r:id="rId3" display="https://faceprep.in/article/top-30-ai-ml-interview-questions-for-freshers-2026/"/>
    <hyperlink ref="C4" r:id="rId4" display="https://careers.hcltech.com/job/Campus-Advanced-Beginner/162110-en_US"/>
    <hyperlink ref="C5" r:id="rId5" display="https://www.gnosify.in/careers"/>
    <hyperlink ref="C6" r:id="rId6" display="https://www.radialbrain.com/careers/"/>
    <hyperlink ref="C7" r:id="rId7" display="https://www.recruit.vatsaltechnosoft.com/jobs/react-react-native-freshers"/>
    <hyperlink ref="C8" r:id="rId8" display="https://www.originsoftwares.com/careers"/>
    <hyperlink ref="C9" r:id="rId9" display="https://careers.stayboba.com/apply/full-stack-college/"/>
    <hyperlink ref="C10" r:id="rId10" display="https://www.tcs.com/careers/india"/>
    <hyperlink ref="C11" r:id="rId11" display="https://www.infosys.com/careers/"/>
    <hyperlink ref="C12" r:id="rId12" display="https://careers.microsoft.com/"/>
    <hyperlink ref="C13" r:id="rId13" display="https://www.amazon.jobs/"/>
    <hyperlink ref="C14" r:id="rId14" display="https://www.zoho.com/careers.html"/>
    <hyperlink ref="C15" r:id="rId15" display="https://www.browserstack.com/careers/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START HERE</vt:lpstr>
      <vt:lpstr>Progress Dashboard</vt:lpstr>
      <vt:lpstr>SWE Roadmap</vt:lpstr>
      <vt:lpstr>AI ML Roadmap</vt:lpstr>
      <vt:lpstr>AI + SWE Integration</vt:lpstr>
      <vt:lpstr>Company Role Tracker</vt:lpstr>
      <vt:lpstr>Live &amp; Direct Apply Links</vt:lpstr>
      <vt:lpstr>Interview Round Guide</vt:lpstr>
      <vt:lpstr>All Skills Reference</vt:lpstr>
      <vt:lpstr>All Learning Resources</vt:lpstr>
      <vt:lpstr>All Project Ideas</vt:lpstr>
      <vt:lpstr>Sources &amp;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SINGH</cp:lastModifiedBy>
  <dcterms:created xsi:type="dcterms:W3CDTF">2026-10-20T19:36:00Z</dcterms:created>
  <dcterms:modified xsi:type="dcterms:W3CDTF">2026-10-21T21:16:03Z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F336A5CFB50A4154857463E632AECC1E_12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